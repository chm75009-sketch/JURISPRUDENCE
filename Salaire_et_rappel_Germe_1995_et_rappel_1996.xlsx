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0" yWindow="550" windowWidth="18640" windowHeight="6740" tabRatio="600" firstSheet="0" activeTab="0" autoFilterDateGrouping="1"/>
  </bookViews>
  <sheets>
    <sheet xmlns:r="http://schemas.openxmlformats.org/officeDocument/2006/relationships" name="Détail par anné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color rgb="FFC65911"/>
      <sz val="11"/>
    </font>
    <font>
      <name val="Calibri"/>
      <family val="2"/>
      <b val="1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E8EEF7"/>
        <bgColor rgb="FFE8EE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center" vertical="center" wrapText="1"/>
    </xf>
    <xf numFmtId="4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3" fontId="3" fillId="4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4" fontId="4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indent="1"/>
    </xf>
    <xf numFmtId="0" fontId="5" fillId="0" borderId="0" applyAlignment="1" pivotButton="0" quotePrefix="0" xfId="0">
      <alignment horizontal="left" indent="1"/>
    </xf>
    <xf numFmtId="3" fontId="4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tabSelected="1" workbookViewId="0">
      <selection activeCell="A1" sqref="A1:F19"/>
    </sheetView>
  </sheetViews>
  <sheetFormatPr baseColWidth="10" defaultColWidth="8.7265625" defaultRowHeight="14.5"/>
  <cols>
    <col width="49.6328125" bestFit="1" customWidth="1" min="1" max="1"/>
    <col width="33.90625" bestFit="1" customWidth="1" min="2" max="2"/>
    <col width="25.1796875" bestFit="1" customWidth="1" min="3" max="3"/>
    <col width="14" customWidth="1" min="4" max="4"/>
    <col width="8.6328125" bestFit="1" customWidth="1" min="5" max="5"/>
    <col width="10.36328125" bestFit="1" customWidth="1" min="6" max="6"/>
  </cols>
  <sheetData>
    <row r="1" ht="30" customHeight="1">
      <c r="A1" s="1" t="inlineStr">
        <is>
          <t>donc</t>
        </is>
      </c>
      <c r="B1" s="1" t="inlineStr">
        <is>
          <t>Source / Justification</t>
        </is>
      </c>
      <c r="C1" s="1" t="inlineStr">
        <is>
          <t>1995 (FRF)</t>
        </is>
      </c>
      <c r="D1" s="1" t="inlineStr">
        <is>
          <t>1995 (€)</t>
        </is>
      </c>
      <c r="E1" s="1" t="inlineStr">
        <is>
          <t>1996 (FRF)</t>
        </is>
      </c>
      <c r="F1" s="1" t="inlineStr">
        <is>
          <t>1996 (€)</t>
        </is>
      </c>
    </row>
    <row r="2">
      <c r="A2" s="2" t="inlineStr">
        <is>
          <t>GERME - Salaire initial 1995</t>
        </is>
      </c>
      <c r="B2" s="2" t="inlineStr">
        <is>
          <t>Relevé 01/01/2023 (avant révision CRA)</t>
        </is>
      </c>
      <c r="C2" s="3" t="n">
        <v>70313</v>
      </c>
      <c r="D2" s="4" t="n">
        <v>10719.14774901404</v>
      </c>
      <c r="E2" s="5" t="n"/>
      <c r="F2" s="5" t="n"/>
    </row>
    <row r="3">
      <c r="A3" s="2" t="inlineStr">
        <is>
          <t>GERME - Arrêt du 26 juin 1997 (10/09-09/11/1995)</t>
        </is>
      </c>
      <c r="B3" s="2" t="inlineStr">
        <is>
          <t>Bulletin 448 344,41 FRF</t>
        </is>
      </c>
      <c r="C3" s="3" t="n">
        <v>448344</v>
      </c>
      <c r="D3" s="4" t="n">
        <v>68349.60218428951</v>
      </c>
      <c r="E3" s="5" t="n"/>
      <c r="F3" s="5" t="n"/>
    </row>
    <row r="4">
      <c r="A4" s="2" t="inlineStr">
        <is>
          <t>GERME - Arrêt du 13 juin 1996</t>
        </is>
      </c>
      <c r="B4" s="2" t="n"/>
      <c r="C4" s="5" t="n"/>
      <c r="D4" s="5" t="n"/>
      <c r="E4" s="5" t="n"/>
      <c r="F4" s="5" t="n"/>
      <c r="I4" s="16">
        <f>C2+C3</f>
        <v/>
      </c>
    </row>
    <row r="5">
      <c r="A5" s="2" t="inlineStr">
        <is>
          <t xml:space="preserve">  └─ Salaire 09/95</t>
        </is>
      </c>
      <c r="B5" s="2" t="inlineStr">
        <is>
          <t>Bulletin Salaire 09/95 = 5 896,80</t>
        </is>
      </c>
      <c r="C5" s="3" t="n">
        <v>5897</v>
      </c>
      <c r="D5" s="4" t="n">
        <v>898.991854649009</v>
      </c>
      <c r="E5" s="5" t="n"/>
      <c r="F5" s="5" t="n"/>
    </row>
    <row r="6">
      <c r="A6" s="2" t="inlineStr">
        <is>
          <t xml:space="preserve">  └─ Salaire 10/95 à 02/96 (1995: 3 mois)</t>
        </is>
      </c>
      <c r="B6" s="2" t="inlineStr">
        <is>
          <t>Bulletin × 3/5 = 35 380,80</t>
        </is>
      </c>
      <c r="C6" s="3" t="n">
        <v>35381</v>
      </c>
      <c r="D6" s="4" t="n">
        <v>5393.798678876817</v>
      </c>
      <c r="E6" s="5" t="n"/>
      <c r="F6" s="5" t="n"/>
    </row>
    <row r="7">
      <c r="A7" s="2" t="inlineStr">
        <is>
          <t xml:space="preserve">  └─ Salaire 10/95 à 02/96 (1996: 2 mois)</t>
        </is>
      </c>
      <c r="B7" s="2" t="inlineStr">
        <is>
          <t>Bulletin × 2/5 = 23 587,20</t>
        </is>
      </c>
      <c r="C7" s="5" t="n"/>
      <c r="D7" s="5" t="n"/>
      <c r="E7" s="3" t="n">
        <v>23587</v>
      </c>
      <c r="F7" s="4" t="n">
        <v>3595.814969578799</v>
      </c>
    </row>
    <row r="8">
      <c r="A8" s="6" t="inlineStr">
        <is>
          <t xml:space="preserve">  └─ TOTAL BULLETIN: 64 864,80 FRF</t>
        </is>
      </c>
      <c r="B8" s="6" t="inlineStr">
        <is>
          <t>09/95 à 02/96: 5896,80 + 58968</t>
        </is>
      </c>
      <c r="C8" s="7" t="n">
        <v>41278</v>
      </c>
      <c r="D8" s="8" t="n">
        <v>6292.790533525826</v>
      </c>
      <c r="E8" s="7" t="n">
        <v>23587</v>
      </c>
      <c r="F8" s="8" t="n">
        <v>3595.814969578799</v>
      </c>
    </row>
    <row r="9">
      <c r="A9" s="9" t="n"/>
      <c r="B9" s="9" t="n"/>
      <c r="C9" s="10" t="n"/>
      <c r="D9" s="10" t="n"/>
      <c r="E9" s="10" t="n"/>
      <c r="F9" s="10" t="n"/>
    </row>
    <row r="10">
      <c r="A10" s="11" t="inlineStr">
        <is>
          <t>GERME Sous-total 1995</t>
        </is>
      </c>
      <c r="B10" s="9" t="n"/>
      <c r="C10" s="12" t="n">
        <v>559935</v>
      </c>
      <c r="D10" s="13" t="n">
        <v>85361.54046682938</v>
      </c>
      <c r="E10" s="10" t="n"/>
      <c r="F10" s="10" t="n"/>
    </row>
    <row r="11">
      <c r="A11" s="2" t="inlineStr">
        <is>
          <t>GERME Sous-total 1996 (quote part arrêt dun13 juin 1996)</t>
        </is>
      </c>
      <c r="B11" s="2" t="n"/>
      <c r="C11" s="5" t="n"/>
      <c r="D11" s="5" t="n"/>
      <c r="E11" s="3" t="n">
        <v>23587</v>
      </c>
      <c r="F11" s="4" t="n">
        <v>3595.814969578799</v>
      </c>
    </row>
    <row r="12">
      <c r="A12" s="2" t="n"/>
      <c r="B12" s="2" t="n"/>
      <c r="C12" s="5" t="n"/>
      <c r="D12" s="5" t="n"/>
      <c r="E12" s="5" t="n"/>
      <c r="F12" s="5" t="n"/>
    </row>
    <row r="13">
      <c r="A13" s="2" t="inlineStr">
        <is>
          <t>INSTITUT SUP COMMERCE INFORMATIQUE ORSAY</t>
        </is>
      </c>
      <c r="B13" s="2" t="inlineStr">
        <is>
          <t>Relevé 27/09/2026</t>
        </is>
      </c>
      <c r="C13" s="3" t="n">
        <v>99341</v>
      </c>
      <c r="D13" s="4" t="n">
        <v>15144.43782138159</v>
      </c>
      <c r="E13" s="5" t="n"/>
      <c r="F13" s="5" t="n"/>
    </row>
    <row r="14" ht="29" customHeight="1">
      <c r="A14" s="2" t="inlineStr">
        <is>
          <t>INSTITUT SUPERIEUR INTERNATIONA COMMERCE (01/02-30/04)</t>
        </is>
      </c>
      <c r="B14" s="2" t="inlineStr">
        <is>
          <t>Relevé 27/09/2026</t>
        </is>
      </c>
      <c r="C14" s="3" t="n">
        <v>6325</v>
      </c>
      <c r="D14" s="4" t="n">
        <v>964.2400340266206</v>
      </c>
      <c r="E14" s="5" t="n"/>
      <c r="F14" s="5" t="n"/>
    </row>
    <row r="15" ht="29" customHeight="1">
      <c r="A15" s="2" t="inlineStr">
        <is>
          <t>INSTITUT SUPERIEUR INTERNATIONA COMMERCE (01/01-30/06)</t>
        </is>
      </c>
      <c r="B15" s="2" t="inlineStr">
        <is>
          <t>Relevé 27/09/2026</t>
        </is>
      </c>
      <c r="C15" s="3" t="n">
        <v>11615</v>
      </c>
      <c r="D15" s="4" t="n">
        <v>1770.695335212522</v>
      </c>
      <c r="E15" s="5" t="n"/>
      <c r="F15" s="5" t="n"/>
    </row>
    <row r="16">
      <c r="A16" s="9" t="n"/>
      <c r="B16" s="9" t="n"/>
      <c r="C16" s="10" t="n"/>
      <c r="D16" s="10" t="n">
        <v>17879.38</v>
      </c>
      <c r="E16" s="10" t="n"/>
      <c r="F16" s="10" t="n"/>
    </row>
    <row r="17">
      <c r="A17" s="2" t="inlineStr">
        <is>
          <t>Autres employeurs Sous-total</t>
        </is>
      </c>
      <c r="B17" s="2" t="n"/>
      <c r="C17" s="3" t="n">
        <v>117281</v>
      </c>
      <c r="D17" s="4" t="n">
        <v>17879.37319062073</v>
      </c>
      <c r="E17" s="5" t="n"/>
      <c r="F17" s="5" t="n"/>
    </row>
    <row r="18">
      <c r="A18" s="9" t="n"/>
      <c r="B18" s="9" t="n"/>
      <c r="C18" s="10" t="n"/>
      <c r="D18" s="10" t="n">
        <v>103240.92</v>
      </c>
      <c r="E18" s="10" t="n"/>
      <c r="F18" s="10" t="n"/>
    </row>
    <row r="19">
      <c r="A19" s="2" t="inlineStr">
        <is>
          <t>TOTAL GÉNÉRAL</t>
        </is>
      </c>
      <c r="B19" s="2" t="n"/>
      <c r="C19" s="3" t="n">
        <v>677216</v>
      </c>
      <c r="D19" s="14" t="n">
        <v>103240.9136574501</v>
      </c>
      <c r="E19" s="3" t="n">
        <v>23587</v>
      </c>
      <c r="F19" s="4" t="n">
        <v>3595.814969578799</v>
      </c>
    </row>
    <row r="21">
      <c r="C21" t="inlineStr">
        <is>
          <t>Dont 90/95 ARRET 97 GERME</t>
        </is>
      </c>
      <c r="D21" s="15">
        <f>D3</f>
        <v/>
      </c>
    </row>
    <row r="23">
      <c r="A23" s="17" t="inlineStr">
        <is>
          <t>GERME 1995 en euros:</t>
        </is>
      </c>
      <c r="C23" t="inlineStr">
        <is>
          <t>coffecient au 1 janvier 2025</t>
        </is>
      </c>
      <c r="D23" t="n">
        <v>1.563</v>
      </c>
    </row>
    <row r="24">
      <c r="A24" s="18" t="n"/>
      <c r="C24" t="inlineStr">
        <is>
          <t>Somme actualisée</t>
        </is>
      </c>
      <c r="D24">
        <f>D19*D23</f>
        <v/>
      </c>
    </row>
    <row r="25">
      <c r="A25" s="18" t="inlineStr">
        <is>
          <t>Salaire initial: 70 313 FRF = 10 719,15 €</t>
        </is>
      </c>
    </row>
    <row r="26">
      <c r="A26" s="18" t="inlineStr">
        <is>
          <t>Rappel 90/95: 448 344 FRF = 68 349,60 €</t>
        </is>
      </c>
      <c r="F26" t="inlineStr">
        <is>
          <t>Differnce</t>
        </is>
      </c>
    </row>
    <row r="27">
      <c r="A27" s="18" t="inlineStr">
        <is>
          <t>Quote-part 1995: 41 278 FRF = 6 292,79 €</t>
        </is>
      </c>
      <c r="C27" t="inlineStr">
        <is>
          <t xml:space="preserve">Total sur le relevé </t>
        </is>
      </c>
      <c r="D27" s="20" t="n">
        <v>635938</v>
      </c>
      <c r="F27" s="21">
        <f>H14</f>
        <v/>
      </c>
    </row>
    <row r="28">
      <c r="A28" s="19" t="inlineStr">
        <is>
          <t>TOTAL GERME 1995: 559 935 FRF = 85 361,54 €</t>
        </is>
      </c>
    </row>
    <row r="29"/>
    <row r="30">
      <c r="A30" s="17" t="inlineStr">
        <is>
          <t>AUTRES EMPLOYEURS 1995 en euros:</t>
        </is>
      </c>
    </row>
    <row r="31">
      <c r="A31" s="18" t="n"/>
    </row>
    <row r="32">
      <c r="A32" s="18" t="inlineStr">
        <is>
          <t>INSTITUT SUP COMMERCE INFORMATIQUE ORSAY: 99 341 FRF = 15 144,44 €</t>
        </is>
      </c>
    </row>
    <row r="33">
      <c r="A33" s="18" t="inlineStr">
        <is>
          <t>INSTITUT SUPERIEUR INTERNATIONA COMMERCE: 6 325 FRF + 11 615 FRF = 2 735,00 €</t>
        </is>
      </c>
    </row>
    <row r="34">
      <c r="A34" s="19" t="inlineStr">
        <is>
          <t>TOTAL AUTRES EMPLOYEURS: 117 281 FRF = 17 879,44 €</t>
        </is>
      </c>
    </row>
    <row r="36">
      <c r="A36" s="17" t="inlineStr">
        <is>
          <t>TOTAL ANNÉE 1995: 677 216 FRF = 103 240,98 €</t>
        </is>
      </c>
    </row>
  </sheetData>
  <pageMargins left="0.75" right="0.75" top="1" bottom="1" header="0.5" footer="0.5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2026-09-27T20:53:23Z</dcterms:created>
  <dcterms:modified xmlns:dcterms="http://purl.org/dc/terms/" xmlns:xsi="http://www.w3.org/2001/XMLSchema-instance" xsi:type="dcterms:W3CDTF">2026-09-27T21:58:23Z</dcterms:modified>
  <cp:lastModifiedBy>USER</cp:lastModifiedBy>
</cp:coreProperties>
</file>