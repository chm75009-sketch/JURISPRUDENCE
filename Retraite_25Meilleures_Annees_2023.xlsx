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270" yWindow="550" windowWidth="18640" windowHeight="6740"/>
  </bookViews>
  <sheets>
    <sheet name="25 meilleures années" sheetId="1" r:id="rId1"/>
  </sheets>
  <calcPr calcId="124519"/>
</workbook>
</file>

<file path=xl/calcChain.xml><?xml version="1.0" encoding="utf-8"?>
<calcChain xmlns="http://schemas.openxmlformats.org/spreadsheetml/2006/main">
  <c r="E27" i="1"/>
  <c r="E30" s="1"/>
  <c r="E31" s="1"/>
  <c r="E33" s="1"/>
  <c r="E34" s="1"/>
  <c r="C27"/>
</calcChain>
</file>

<file path=xl/sharedStrings.xml><?xml version="1.0" encoding="utf-8"?>
<sst xmlns="http://schemas.openxmlformats.org/spreadsheetml/2006/main" count="12" uniqueCount="12">
  <si>
    <t>Année</t>
  </si>
  <si>
    <t>Salaire brut (FRF)</t>
  </si>
  <si>
    <t>Salaire brut (EUR)</t>
  </si>
  <si>
    <t>Coefficient 2023</t>
  </si>
  <si>
    <t>Montant au 1/1/2023</t>
  </si>
  <si>
    <t>Total</t>
  </si>
  <si>
    <t>Nombre années</t>
  </si>
  <si>
    <t>Revenu de base</t>
  </si>
  <si>
    <t>50%</t>
  </si>
  <si>
    <t>Nombre de trimestres</t>
  </si>
  <si>
    <t>Montant annuel</t>
  </si>
  <si>
    <t>Montant mensuel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</si>
</sst>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#,##0.00\ &quot;€&quot;"/>
  </numFmts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2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4" fontId="0" fillId="0" borderId="1" xfId="0" applyNumberFormat="1" applyBorder="1"/>
    <xf numFmtId="164" fontId="0" fillId="0" borderId="1" xfId="0" applyNumberFormat="1" applyBorder="1"/>
    <xf numFmtId="0" fontId="2" fillId="0" borderId="1" xfId="0" applyFont="1" applyBorder="1"/>
    <xf numFmtId="165" fontId="0" fillId="0" borderId="1" xfId="0" applyNumberFormat="1" applyBorder="1"/>
    <xf numFmtId="165" fontId="2" fillId="0" borderId="1" xfId="0" applyNumberFormat="1" applyFont="1" applyBorder="1"/>
    <xf numFmtId="0" fontId="3" fillId="0" borderId="1" xfId="0" applyFont="1" applyBorder="1"/>
    <xf numFmtId="165" fontId="3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5"/>
  <sheetViews>
    <sheetView tabSelected="1" workbookViewId="0">
      <selection activeCell="C11" sqref="C11"/>
    </sheetView>
  </sheetViews>
  <sheetFormatPr baseColWidth="10" defaultColWidth="8.7265625" defaultRowHeight="14.5"/>
  <cols>
    <col min="1" max="1" width="6.1796875" bestFit="1" customWidth="1"/>
    <col min="2" max="2" width="15.08984375" bestFit="1" customWidth="1"/>
    <col min="3" max="3" width="15.54296875" bestFit="1" customWidth="1"/>
    <col min="4" max="4" width="19.1796875" bestFit="1" customWidth="1"/>
    <col min="5" max="5" width="22" customWidth="1"/>
  </cols>
  <sheetData>
    <row r="1" spans="1:5" ht="15.5" thickTop="1" thickBo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5" thickTop="1" thickBot="1">
      <c r="A2" s="2">
        <v>1990</v>
      </c>
      <c r="B2" s="3">
        <v>68232.003199999992</v>
      </c>
      <c r="C2" s="6">
        <v>10401.219999999999</v>
      </c>
      <c r="D2" s="4">
        <v>1.57</v>
      </c>
      <c r="E2" s="6">
        <v>16329.91</v>
      </c>
    </row>
    <row r="3" spans="1:5" ht="15.5" thickTop="1" thickBot="1">
      <c r="A3" s="2">
        <v>1991</v>
      </c>
      <c r="B3" s="3">
        <v>112024.0048</v>
      </c>
      <c r="C3" s="6">
        <v>17076.830000000002</v>
      </c>
      <c r="D3" s="4">
        <v>1.5469999999999999</v>
      </c>
      <c r="E3" s="6">
        <v>26417.85</v>
      </c>
    </row>
    <row r="4" spans="1:5" ht="15.5" thickTop="1" thickBot="1">
      <c r="A4" s="2">
        <v>1992</v>
      </c>
      <c r="B4" s="3">
        <v>103828.9904</v>
      </c>
      <c r="C4" s="6">
        <v>15827.59</v>
      </c>
      <c r="D4" s="4">
        <v>1.496</v>
      </c>
      <c r="E4" s="6">
        <v>23678.080000000002</v>
      </c>
    </row>
    <row r="5" spans="1:5" ht="15.5" thickTop="1" thickBot="1">
      <c r="A5" s="2">
        <v>1993</v>
      </c>
      <c r="B5" s="3">
        <v>99461.998399999997</v>
      </c>
      <c r="C5" s="6">
        <v>15161.89</v>
      </c>
      <c r="D5" s="4">
        <v>1.496</v>
      </c>
      <c r="E5" s="6">
        <v>22682.19</v>
      </c>
    </row>
    <row r="6" spans="1:5" ht="15.5" thickTop="1" thickBot="1">
      <c r="A6" s="2">
        <v>1994</v>
      </c>
      <c r="B6" s="3">
        <v>139800.0288</v>
      </c>
      <c r="C6" s="6">
        <v>21310.98</v>
      </c>
      <c r="D6" s="4">
        <v>1.47</v>
      </c>
      <c r="E6" s="6">
        <v>31327.13</v>
      </c>
    </row>
    <row r="7" spans="1:5" ht="15.5" thickTop="1" thickBot="1">
      <c r="A7" s="2">
        <v>1995</v>
      </c>
      <c r="B7" s="3">
        <v>518657.01919999998</v>
      </c>
      <c r="C7" s="6">
        <v>79063.570000000007</v>
      </c>
      <c r="D7" s="4">
        <v>1.4530000000000001</v>
      </c>
      <c r="E7" s="6">
        <v>114879.36</v>
      </c>
    </row>
    <row r="8" spans="1:5" ht="15.5" thickTop="1" thickBot="1">
      <c r="A8" s="2">
        <v>1996</v>
      </c>
      <c r="B8" s="3">
        <v>146554.008</v>
      </c>
      <c r="C8" s="6">
        <v>22340.55</v>
      </c>
      <c r="D8" s="4">
        <v>1.4179999999999999</v>
      </c>
      <c r="E8" s="6">
        <v>31678.9</v>
      </c>
    </row>
    <row r="9" spans="1:5" ht="15.5" thickTop="1" thickBot="1">
      <c r="A9" s="2">
        <v>1997</v>
      </c>
      <c r="B9" s="3">
        <v>92033.979199999987</v>
      </c>
      <c r="C9" s="6">
        <v>14029.57</v>
      </c>
      <c r="D9" s="4">
        <v>1.403</v>
      </c>
      <c r="E9" s="6">
        <v>19683.490000000002</v>
      </c>
    </row>
    <row r="10" spans="1:5" ht="15.5" thickTop="1" thickBot="1">
      <c r="A10" s="2">
        <v>1999</v>
      </c>
      <c r="B10" s="3">
        <v>103974.03200000001</v>
      </c>
      <c r="C10" s="6">
        <v>15849.7</v>
      </c>
      <c r="D10" s="4">
        <v>1.371</v>
      </c>
      <c r="E10" s="6">
        <v>21729.93</v>
      </c>
    </row>
    <row r="11" spans="1:5" ht="15.5" thickTop="1" thickBot="1">
      <c r="A11" s="2">
        <v>2002</v>
      </c>
      <c r="B11" s="2"/>
      <c r="C11" s="6">
        <v>33538</v>
      </c>
      <c r="D11" s="4">
        <v>1.3069999999999999</v>
      </c>
      <c r="E11" s="6">
        <v>43834.17</v>
      </c>
    </row>
    <row r="12" spans="1:5" ht="15.5" thickTop="1" thickBot="1">
      <c r="A12" s="2">
        <v>2003</v>
      </c>
      <c r="B12" s="2"/>
      <c r="C12" s="6">
        <v>16007</v>
      </c>
      <c r="D12" s="4">
        <v>1.286</v>
      </c>
      <c r="E12" s="6">
        <v>20585</v>
      </c>
    </row>
    <row r="13" spans="1:5" ht="15.5" thickTop="1" thickBot="1">
      <c r="A13" s="2">
        <v>2004</v>
      </c>
      <c r="B13" s="2"/>
      <c r="C13" s="6">
        <v>18000</v>
      </c>
      <c r="D13" s="4">
        <v>1.266</v>
      </c>
      <c r="E13" s="6">
        <v>22788</v>
      </c>
    </row>
    <row r="14" spans="1:5" ht="15.5" thickTop="1" thickBot="1">
      <c r="A14" s="2">
        <v>2005</v>
      </c>
      <c r="B14" s="2"/>
      <c r="C14" s="6">
        <v>18000</v>
      </c>
      <c r="D14" s="4">
        <v>1.2430000000000001</v>
      </c>
      <c r="E14" s="6">
        <v>22374</v>
      </c>
    </row>
    <row r="15" spans="1:5" ht="15.5" thickTop="1" thickBot="1">
      <c r="A15" s="2">
        <v>2006</v>
      </c>
      <c r="B15" s="2"/>
      <c r="C15" s="6">
        <v>22000</v>
      </c>
      <c r="D15" s="4">
        <v>1.2210000000000001</v>
      </c>
      <c r="E15" s="6">
        <v>26862</v>
      </c>
    </row>
    <row r="16" spans="1:5" ht="15.5" thickTop="1" thickBot="1">
      <c r="A16" s="2">
        <v>2007</v>
      </c>
      <c r="B16" s="2"/>
      <c r="C16" s="6">
        <v>17289</v>
      </c>
      <c r="D16" s="4">
        <v>1.2010000000000001</v>
      </c>
      <c r="E16" s="6">
        <v>20764.09</v>
      </c>
    </row>
    <row r="17" spans="1:5" ht="15.5" thickTop="1" thickBot="1">
      <c r="A17" s="2">
        <v>2008</v>
      </c>
      <c r="B17" s="2"/>
      <c r="C17" s="6">
        <v>15084</v>
      </c>
      <c r="D17" s="4">
        <v>1.1890000000000001</v>
      </c>
      <c r="E17" s="6">
        <v>17934.88</v>
      </c>
    </row>
    <row r="18" spans="1:5" ht="15.5" thickTop="1" thickBot="1">
      <c r="A18" s="2">
        <v>2010</v>
      </c>
      <c r="B18" s="2"/>
      <c r="C18" s="6">
        <v>18000</v>
      </c>
      <c r="D18" s="4">
        <v>1.1679999999999999</v>
      </c>
      <c r="E18" s="6">
        <v>21024</v>
      </c>
    </row>
    <row r="19" spans="1:5" ht="15.5" thickTop="1" thickBot="1">
      <c r="A19" s="2">
        <v>2011</v>
      </c>
      <c r="B19" s="2"/>
      <c r="C19" s="6">
        <v>21000</v>
      </c>
      <c r="D19" s="4">
        <v>1.1579999999999999</v>
      </c>
      <c r="E19" s="6">
        <v>24318</v>
      </c>
    </row>
    <row r="20" spans="1:5" ht="15.5" thickTop="1" thickBot="1">
      <c r="A20" s="2">
        <v>2012</v>
      </c>
      <c r="B20" s="2"/>
      <c r="C20" s="6">
        <v>27200</v>
      </c>
      <c r="D20" s="4">
        <v>1.135</v>
      </c>
      <c r="E20" s="6">
        <v>30872</v>
      </c>
    </row>
    <row r="21" spans="1:5" ht="15.5" thickTop="1" thickBot="1">
      <c r="A21" s="2">
        <v>2013</v>
      </c>
      <c r="B21" s="2"/>
      <c r="C21" s="6">
        <v>33600</v>
      </c>
      <c r="D21" s="4">
        <v>1.1120000000000001</v>
      </c>
      <c r="E21" s="6">
        <v>37363.199999999997</v>
      </c>
    </row>
    <row r="22" spans="1:5" ht="15.5" thickTop="1" thickBot="1">
      <c r="A22" s="2">
        <v>2014</v>
      </c>
      <c r="B22" s="2"/>
      <c r="C22" s="6">
        <v>36000</v>
      </c>
      <c r="D22" s="4">
        <v>1.0980000000000001</v>
      </c>
      <c r="E22" s="6">
        <v>39528</v>
      </c>
    </row>
    <row r="23" spans="1:5" ht="15.5" thickTop="1" thickBot="1">
      <c r="A23" s="2">
        <v>2015</v>
      </c>
      <c r="B23" s="2"/>
      <c r="C23" s="6">
        <v>36000</v>
      </c>
      <c r="D23" s="4">
        <v>1.0980000000000001</v>
      </c>
      <c r="E23" s="6">
        <v>39528</v>
      </c>
    </row>
    <row r="24" spans="1:5" ht="15.5" thickTop="1" thickBot="1">
      <c r="A24" s="2">
        <v>2016</v>
      </c>
      <c r="B24" s="2"/>
      <c r="C24" s="6">
        <v>36000</v>
      </c>
      <c r="D24" s="4">
        <v>1.097</v>
      </c>
      <c r="E24" s="6">
        <v>39492</v>
      </c>
    </row>
    <row r="25" spans="1:5" ht="15.5" thickTop="1" thickBot="1">
      <c r="A25" s="2">
        <v>2017</v>
      </c>
      <c r="B25" s="2"/>
      <c r="C25" s="6">
        <v>36000</v>
      </c>
      <c r="D25" s="4">
        <v>1.097</v>
      </c>
      <c r="E25" s="6">
        <v>39492</v>
      </c>
    </row>
    <row r="26" spans="1:5" ht="15.5" thickTop="1" thickBot="1">
      <c r="A26" s="2">
        <v>2018</v>
      </c>
      <c r="B26" s="2"/>
      <c r="C26" s="6">
        <v>39000</v>
      </c>
      <c r="D26" s="4">
        <v>1.089</v>
      </c>
      <c r="E26" s="6">
        <v>42471</v>
      </c>
    </row>
    <row r="27" spans="1:5" ht="15.5" thickTop="1" thickBot="1">
      <c r="A27" s="5" t="s">
        <v>5</v>
      </c>
      <c r="B27" s="2"/>
      <c r="C27" s="7">
        <f>SUM(C2:C26)</f>
        <v>633779.9</v>
      </c>
      <c r="D27" s="2"/>
      <c r="E27" s="7">
        <f>SUM(E2:E26)</f>
        <v>797637.17999999993</v>
      </c>
    </row>
    <row r="28" spans="1:5" ht="15.5" thickTop="1" thickBot="1">
      <c r="A28" s="2"/>
      <c r="B28" s="2"/>
      <c r="C28" s="2"/>
      <c r="D28" s="2"/>
      <c r="E28" s="2"/>
    </row>
    <row r="29" spans="1:5" ht="15.5" thickTop="1" thickBot="1">
      <c r="A29" s="2"/>
      <c r="B29" s="2"/>
      <c r="C29" s="2"/>
      <c r="D29" s="2" t="s">
        <v>6</v>
      </c>
      <c r="E29" s="2">
        <v>25</v>
      </c>
    </row>
    <row r="30" spans="1:5" ht="15.5" thickTop="1" thickBot="1">
      <c r="A30" s="2"/>
      <c r="B30" s="2"/>
      <c r="C30" s="2"/>
      <c r="D30" s="2" t="s">
        <v>7</v>
      </c>
      <c r="E30" s="6">
        <f>E27/E29</f>
        <v>31905.487199999996</v>
      </c>
    </row>
    <row r="31" spans="1:5" ht="15.5" thickTop="1" thickBot="1">
      <c r="A31" s="2"/>
      <c r="B31" s="2"/>
      <c r="C31" s="2"/>
      <c r="D31" s="2" t="s">
        <v>8</v>
      </c>
      <c r="E31" s="6">
        <f>E30*0.5</f>
        <v>15952.743599999998</v>
      </c>
    </row>
    <row r="32" spans="1:5" ht="15.5" thickTop="1" thickBot="1">
      <c r="A32" s="2"/>
      <c r="B32" s="2"/>
      <c r="C32" s="2"/>
      <c r="D32" s="2" t="s">
        <v>9</v>
      </c>
      <c r="E32" s="2">
        <v>121</v>
      </c>
    </row>
    <row r="33" spans="1:5" ht="15.5" thickTop="1" thickBot="1">
      <c r="A33" s="2"/>
      <c r="B33" s="2"/>
      <c r="C33" s="2"/>
      <c r="D33" s="2" t="s">
        <v>10</v>
      </c>
      <c r="E33" s="6">
        <f>(E31*121)/167</f>
        <v>11558.574704191615</v>
      </c>
    </row>
    <row r="34" spans="1:5" ht="15.5" thickTop="1" thickBot="1">
      <c r="A34" s="2"/>
      <c r="B34" s="2"/>
      <c r="C34" s="2"/>
      <c r="D34" s="8" t="s">
        <v>11</v>
      </c>
      <c r="E34" s="9">
        <f>E33/12</f>
        <v>963.21455868263456</v>
      </c>
    </row>
    <row r="35" spans="1:5" ht="15" thickTop="1"/>
  </sheetData>
  <pageMargins left="0.75" right="0.75" top="1" bottom="1" header="0.5" footer="0.5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25 meilleures années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cp:lastPrinted>2026-10-06T17:43:32Z</cp:lastPrinted>
  <dcterms:created xsi:type="dcterms:W3CDTF">2026-10-06T17:40:46Z</dcterms:created>
  <dcterms:modified xsi:type="dcterms:W3CDTF">2026-10-06T17:44:41Z</dcterms:modified>
</cp:coreProperties>
</file>