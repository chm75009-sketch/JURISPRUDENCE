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0" yWindow="550" windowWidth="18640" windowHeight="6740" tabRatio="600" firstSheet="0" activeTab="0" autoFilterDateGrouping="1"/>
  </bookViews>
  <sheets>
    <sheet xmlns:r="http://schemas.openxmlformats.org/officeDocument/2006/relationships" name="25 meilleures a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\ &quot;€&quot;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5" fontId="0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C11" sqref="C11"/>
    </sheetView>
  </sheetViews>
  <sheetFormatPr baseColWidth="10" defaultColWidth="8.7265625" defaultRowHeight="14.5"/>
  <cols>
    <col width="6.1796875" bestFit="1" customWidth="1" min="1" max="1"/>
    <col width="15.08984375" bestFit="1" customWidth="1" min="2" max="2"/>
    <col width="15.54296875" bestFit="1" customWidth="1" min="3" max="3"/>
    <col width="19.1796875" bestFit="1" customWidth="1" min="4" max="4"/>
    <col width="22" customWidth="1" min="5" max="5"/>
  </cols>
  <sheetData>
    <row r="1" ht="15.5" customHeight="1" thickBot="1" thickTop="1">
      <c r="A1" s="1" t="inlineStr">
        <is>
          <t>Année</t>
        </is>
      </c>
      <c r="B1" s="1" t="inlineStr">
        <is>
          <t>Salaire brut (FRF)</t>
        </is>
      </c>
      <c r="C1" s="1" t="inlineStr">
        <is>
          <t>Salaire brut (EUR)</t>
        </is>
      </c>
      <c r="D1" s="1" t="inlineStr">
        <is>
          <t>Coefficient 2023</t>
        </is>
      </c>
      <c r="E1" s="1" t="inlineStr">
        <is>
          <t>Montant au 1/1/2023</t>
        </is>
      </c>
    </row>
    <row r="2" ht="15.5" customHeight="1" thickBot="1" thickTop="1">
      <c r="A2" s="2" t="n">
        <v>1990</v>
      </c>
      <c r="B2" s="3" t="n">
        <v>33120</v>
      </c>
      <c r="C2" s="6" t="n">
        <v>5049.11</v>
      </c>
      <c r="D2" s="4" t="n">
        <v>1.57</v>
      </c>
      <c r="E2" s="6" t="n">
        <v>16329.91</v>
      </c>
    </row>
    <row r="3" ht="15.5" customHeight="1" thickBot="1" thickTop="1">
      <c r="A3" s="2" t="n">
        <v>1991</v>
      </c>
      <c r="B3" s="3" t="n">
        <v>112024</v>
      </c>
      <c r="C3" s="6" t="n">
        <v>17077.95</v>
      </c>
      <c r="D3" s="4" t="n">
        <v>1.547</v>
      </c>
      <c r="E3" s="6" t="n">
        <v>26417.85</v>
      </c>
    </row>
    <row r="4" ht="15.5" customHeight="1" thickBot="1" thickTop="1">
      <c r="A4" s="2" t="n">
        <v>1992</v>
      </c>
      <c r="B4" s="3" t="n">
        <v>145507</v>
      </c>
      <c r="C4" s="6" t="n">
        <v>22195.94</v>
      </c>
      <c r="D4" s="4" t="n">
        <v>1.496</v>
      </c>
      <c r="E4" s="6" t="n">
        <v>23678.08</v>
      </c>
    </row>
    <row r="5" ht="15.5" customHeight="1" thickBot="1" thickTop="1">
      <c r="A5" s="2" t="n">
        <v>1993</v>
      </c>
      <c r="B5" s="3" t="n">
        <v>178707</v>
      </c>
      <c r="C5" s="6" t="n">
        <v>27256.95</v>
      </c>
      <c r="D5" s="4" t="n">
        <v>1.496</v>
      </c>
      <c r="E5" s="6" t="n">
        <v>22682.19</v>
      </c>
    </row>
    <row r="6" ht="15.5" customHeight="1" thickBot="1" thickTop="1">
      <c r="A6" s="2" t="n">
        <v>1994</v>
      </c>
      <c r="B6" s="3" t="n">
        <v>196188.24</v>
      </c>
      <c r="C6" s="6" t="n">
        <v>29909.54</v>
      </c>
      <c r="D6" s="4" t="n">
        <v>1.47</v>
      </c>
      <c r="E6" s="6" t="n">
        <v>31327.13</v>
      </c>
    </row>
    <row r="7" ht="15.5" customHeight="1" thickBot="1" thickTop="1">
      <c r="A7" s="2" t="n">
        <v>1995</v>
      </c>
      <c r="B7" s="3" t="n">
        <v>582944.08</v>
      </c>
      <c r="C7" s="6" t="n">
        <v>88886.64</v>
      </c>
      <c r="D7" s="4" t="n">
        <v>1.453</v>
      </c>
      <c r="E7" s="6" t="n">
        <v>114879.36</v>
      </c>
    </row>
    <row r="8" ht="15.5" customHeight="1" thickBot="1" thickTop="1">
      <c r="A8" s="2" t="n">
        <v>1996</v>
      </c>
      <c r="B8" s="3" t="n">
        <v>115216.89</v>
      </c>
      <c r="C8" s="6" t="n">
        <v>17573.22</v>
      </c>
      <c r="D8" s="4" t="n">
        <v>1.418</v>
      </c>
      <c r="E8" s="6" t="n">
        <v>31678.9</v>
      </c>
    </row>
    <row r="9" ht="15.5" customHeight="1" thickBot="1" thickTop="1">
      <c r="A9" s="2" t="n">
        <v>1997</v>
      </c>
      <c r="B9" s="3" t="n">
        <v>45288</v>
      </c>
      <c r="C9" s="6" t="n">
        <v>6905.85</v>
      </c>
      <c r="D9" s="4" t="n">
        <v>1.403</v>
      </c>
      <c r="E9" s="6" t="n">
        <v>19683.49</v>
      </c>
    </row>
    <row r="10" ht="15.5" customHeight="1" thickBot="1" thickTop="1">
      <c r="A10" s="2" t="n">
        <v>1999</v>
      </c>
      <c r="B10" s="3" t="n">
        <v>51987</v>
      </c>
      <c r="C10" s="6" t="n">
        <v>7927.23</v>
      </c>
      <c r="D10" s="4" t="n">
        <v>1.371</v>
      </c>
      <c r="E10" s="6" t="n">
        <v>21729.93</v>
      </c>
    </row>
    <row r="11" ht="15.5" customHeight="1" thickBot="1" thickTop="1">
      <c r="A11" s="2" t="n">
        <v>2002</v>
      </c>
      <c r="B11" s="2" t="n"/>
      <c r="C11" s="6" t="n">
        <v>9208</v>
      </c>
      <c r="D11" s="4" t="n">
        <v>1.307</v>
      </c>
      <c r="E11" s="6" t="n">
        <v>43834.17</v>
      </c>
    </row>
    <row r="12" ht="15.5" customHeight="1" thickBot="1" thickTop="1">
      <c r="A12" s="2" t="n">
        <v>2003</v>
      </c>
      <c r="B12" s="2" t="n"/>
      <c r="C12" s="6" t="n">
        <v>9031</v>
      </c>
      <c r="D12" s="4" t="n">
        <v>1.286</v>
      </c>
      <c r="E12" s="6" t="n">
        <v>20585</v>
      </c>
    </row>
    <row r="13" ht="15.5" customHeight="1" thickBot="1" thickTop="1">
      <c r="A13" s="2" t="n">
        <v>2004</v>
      </c>
      <c r="B13" s="2" t="n"/>
      <c r="C13" s="6" t="n">
        <v>18000</v>
      </c>
      <c r="D13" s="4" t="n">
        <v>1.266</v>
      </c>
      <c r="E13" s="6" t="n">
        <v>22788</v>
      </c>
    </row>
    <row r="14" ht="15.5" customHeight="1" thickBot="1" thickTop="1">
      <c r="A14" s="2" t="n">
        <v>2005</v>
      </c>
      <c r="B14" s="2" t="n"/>
      <c r="C14" s="6" t="n">
        <v>18000</v>
      </c>
      <c r="D14" s="4" t="n">
        <v>1.243</v>
      </c>
      <c r="E14" s="6" t="n">
        <v>22374</v>
      </c>
    </row>
    <row r="15" ht="15.5" customHeight="1" thickBot="1" thickTop="1">
      <c r="A15" s="2" t="n">
        <v>2006</v>
      </c>
      <c r="B15" s="2" t="n"/>
      <c r="C15" s="6" t="n">
        <v>22000</v>
      </c>
      <c r="D15" s="4" t="n">
        <v>1.221</v>
      </c>
      <c r="E15" s="6" t="n">
        <v>26862</v>
      </c>
    </row>
    <row r="16" ht="15.5" customHeight="1" thickBot="1" thickTop="1">
      <c r="A16" s="2" t="n">
        <v>2007</v>
      </c>
      <c r="B16" s="2" t="n"/>
      <c r="C16" s="6" t="n">
        <v>17288.52</v>
      </c>
      <c r="D16" s="4" t="n">
        <v>1.201</v>
      </c>
      <c r="E16" s="6" t="n">
        <v>20764.09</v>
      </c>
    </row>
    <row r="17" ht="15.5" customHeight="1" thickBot="1" thickTop="1">
      <c r="A17" s="2" t="n">
        <v>2008</v>
      </c>
      <c r="B17" s="2" t="n"/>
      <c r="C17" s="6" t="n">
        <v>15057.53</v>
      </c>
      <c r="D17" s="4" t="n">
        <v>1.189</v>
      </c>
      <c r="E17" s="6" t="n">
        <v>17934.88</v>
      </c>
    </row>
    <row r="18" ht="15.5" customHeight="1" thickBot="1" thickTop="1">
      <c r="A18" s="2" t="n">
        <v>2010</v>
      </c>
      <c r="B18" s="2" t="n"/>
      <c r="C18" s="6" t="n">
        <v>18000</v>
      </c>
      <c r="D18" s="4" t="n">
        <v>1.168</v>
      </c>
      <c r="E18" s="6" t="n">
        <v>21024</v>
      </c>
    </row>
    <row r="19" ht="15.5" customHeight="1" thickBot="1" thickTop="1">
      <c r="A19" s="2" t="n">
        <v>2011</v>
      </c>
      <c r="B19" s="2" t="n"/>
      <c r="C19" s="6" t="n">
        <v>10500</v>
      </c>
      <c r="D19" s="4" t="n">
        <v>1.158</v>
      </c>
      <c r="E19" s="6" t="n">
        <v>24318</v>
      </c>
    </row>
    <row r="20" ht="15.5" customHeight="1" thickBot="1" thickTop="1">
      <c r="A20" s="2" t="n">
        <v>2012</v>
      </c>
      <c r="B20" s="2" t="n"/>
      <c r="C20" s="6" t="n">
        <v>27117.04</v>
      </c>
      <c r="D20" s="4" t="n">
        <v>1.135</v>
      </c>
      <c r="E20" s="6" t="n">
        <v>30872</v>
      </c>
    </row>
    <row r="21" ht="15.5" customHeight="1" thickBot="1" thickTop="1">
      <c r="A21" s="2" t="n">
        <v>2013</v>
      </c>
      <c r="B21" s="2" t="n"/>
      <c r="C21" s="6" t="n">
        <v>33185.2</v>
      </c>
      <c r="D21" s="4" t="n">
        <v>1.112</v>
      </c>
      <c r="E21" s="6" t="n">
        <v>37363.2</v>
      </c>
    </row>
    <row r="22" ht="15.5" customHeight="1" thickBot="1" thickTop="1">
      <c r="A22" s="2" t="n">
        <v>2014</v>
      </c>
      <c r="B22" s="2" t="n"/>
      <c r="C22" s="6" t="n">
        <v>36000</v>
      </c>
      <c r="D22" s="4" t="n">
        <v>1.098</v>
      </c>
      <c r="E22" s="6" t="n">
        <v>39528</v>
      </c>
    </row>
    <row r="23" ht="15.5" customHeight="1" thickBot="1" thickTop="1">
      <c r="A23" s="2" t="n">
        <v>2015</v>
      </c>
      <c r="B23" s="2" t="n"/>
      <c r="C23" s="6" t="n">
        <v>36000</v>
      </c>
      <c r="D23" s="4" t="n">
        <v>1.098</v>
      </c>
      <c r="E23" s="6" t="n">
        <v>39528</v>
      </c>
    </row>
    <row r="24" ht="15.5" customHeight="1" thickBot="1" thickTop="1">
      <c r="A24" s="2" t="n">
        <v>2016</v>
      </c>
      <c r="B24" s="2" t="n"/>
      <c r="C24" s="6" t="n">
        <v>36000</v>
      </c>
      <c r="D24" s="4" t="n">
        <v>1.097</v>
      </c>
      <c r="E24" s="6" t="n">
        <v>39492</v>
      </c>
    </row>
    <row r="25" ht="15.5" customHeight="1" thickBot="1" thickTop="1">
      <c r="A25" s="2" t="n">
        <v>2017</v>
      </c>
      <c r="B25" s="2" t="n"/>
      <c r="C25" s="6" t="n">
        <v>36000</v>
      </c>
      <c r="D25" s="4" t="n">
        <v>1.097</v>
      </c>
      <c r="E25" s="6" t="n">
        <v>39492</v>
      </c>
    </row>
    <row r="26" ht="15.5" customHeight="1" thickBot="1" thickTop="1">
      <c r="A26" s="2" t="n">
        <v>2018</v>
      </c>
      <c r="B26" s="2" t="n"/>
      <c r="C26" s="6" t="n">
        <v>36000</v>
      </c>
      <c r="D26" s="4" t="n">
        <v>1.089</v>
      </c>
      <c r="E26" s="6" t="n">
        <v>42471</v>
      </c>
    </row>
    <row r="27" ht="15.5" customHeight="1" thickBot="1" thickTop="1">
      <c r="A27" s="5" t="inlineStr">
        <is>
          <t>Total</t>
        </is>
      </c>
      <c r="B27" s="2" t="n"/>
      <c r="C27" s="7">
        <f>SUM(C2:C26)</f>
        <v/>
      </c>
      <c r="D27" s="2" t="n"/>
      <c r="E27" s="7">
        <f>SUM(E2:E26)</f>
        <v/>
      </c>
    </row>
    <row r="28" ht="15.5" customHeight="1" thickBot="1" thickTop="1">
      <c r="A28" s="2" t="n"/>
      <c r="B28" s="2" t="n"/>
      <c r="C28" s="2" t="n"/>
      <c r="D28" s="2" t="n"/>
      <c r="E28" s="2" t="n"/>
    </row>
    <row r="29" ht="15.5" customHeight="1" thickBot="1" thickTop="1">
      <c r="A29" s="2" t="n"/>
      <c r="B29" s="2" t="n"/>
      <c r="C29" s="2" t="n"/>
      <c r="D29" s="2" t="inlineStr">
        <is>
          <t>Nombre années</t>
        </is>
      </c>
      <c r="E29" s="2" t="n">
        <v>25</v>
      </c>
    </row>
    <row r="30" ht="15.5" customHeight="1" thickBot="1" thickTop="1">
      <c r="A30" s="2" t="n"/>
      <c r="B30" s="2" t="n"/>
      <c r="C30" s="2" t="n"/>
      <c r="D30" s="2" t="inlineStr">
        <is>
          <t>Revenu de base</t>
        </is>
      </c>
      <c r="E30" s="6">
        <f>E27/E29</f>
        <v/>
      </c>
    </row>
    <row r="31" ht="15.5" customHeight="1" thickBot="1" thickTop="1">
      <c r="A31" s="2" t="n"/>
      <c r="B31" s="2" t="n"/>
      <c r="C31" s="2" t="n"/>
      <c r="D31" s="2" t="inlineStr">
        <is>
          <t>50%</t>
        </is>
      </c>
      <c r="E31" s="6">
        <f>E30*0.5</f>
        <v/>
      </c>
    </row>
    <row r="32" ht="15.5" customHeight="1" thickBot="1" thickTop="1">
      <c r="A32" s="2" t="n"/>
      <c r="B32" s="2" t="n"/>
      <c r="C32" s="2" t="n"/>
      <c r="D32" s="2" t="inlineStr">
        <is>
          <t>Nombre de trimestres</t>
        </is>
      </c>
      <c r="E32" s="2" t="n">
        <v>121</v>
      </c>
    </row>
    <row r="33" ht="15.5" customHeight="1" thickBot="1" thickTop="1">
      <c r="A33" s="2" t="n"/>
      <c r="B33" s="2" t="n"/>
      <c r="C33" s="2" t="n"/>
      <c r="D33" s="2" t="inlineStr">
        <is>
          <t>Montant annuel</t>
        </is>
      </c>
      <c r="E33" s="6">
        <f>(E31*121)/167</f>
        <v/>
      </c>
    </row>
    <row r="34" ht="15.5" customHeight="1" thickBot="1" thickTop="1">
      <c r="A34" s="2" t="n"/>
      <c r="B34" s="2" t="n"/>
      <c r="C34" s="2" t="n"/>
      <c r="D34" s="8" t="inlineStr">
        <is>
          <t>Montant mensuel</t>
        </is>
      </c>
      <c r="E34" s="9">
        <f>E33/12</f>
        <v/>
      </c>
    </row>
    <row r="35" ht="15" customHeight="1" thickTop="1"/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2026-10-06T17:40:46Z</dcterms:created>
  <dcterms:modified xmlns:dcterms="http://purl.org/dc/terms/" xmlns:xsi="http://www.w3.org/2001/XMLSchema-instance" xsi:type="dcterms:W3CDTF">2026-10-06T17:57:07Z</dcterms:modified>
  <cp:lastModifiedBy>USER</cp:lastModifiedBy>
  <cp:lastPrinted>2026-10-06T17:43:32Z</cp:lastPrinted>
</cp:coreProperties>
</file>