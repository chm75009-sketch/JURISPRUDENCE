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70" yWindow="550" windowWidth="18640" windowHeight="6740" tabRatio="600" firstSheet="0" activeTab="0" autoFilterDateGrouping="1"/>
  </bookViews>
  <sheets>
    <sheet xmlns:r="http://schemas.openxmlformats.org/officeDocument/2006/relationships" name="25 meilleures anné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00"/>
    <numFmt numFmtId="166" formatCode="#,##0.00\ _€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1" fillId="0" borderId="1" pivotButton="0" quotePrefix="0" xfId="0"/>
    <xf numFmtId="164" fontId="1" fillId="0" borderId="1" pivotButton="0" quotePrefix="0" xfId="0"/>
    <xf numFmtId="166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4" fontId="0" fillId="0" borderId="0" pivotButton="0" quotePrefix="0" xfId="0"/>
    <xf numFmtId="164" fontId="0" fillId="0" borderId="1" pivotButton="0" quotePrefix="0" xfId="0"/>
    <xf numFmtId="165" fontId="0" fillId="0" borderId="1" pivotButton="0" quotePrefix="0" xfId="0"/>
    <xf numFmtId="164" fontId="1" fillId="0" borderId="1" pivotButton="0" quotePrefix="0" xfId="0"/>
    <xf numFmtId="166" fontId="0" fillId="0" borderId="1" pivotButton="0" quotePrefix="0" xfId="0"/>
    <xf numFmtId="164" fontId="3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tabSelected="1" topLeftCell="A14" workbookViewId="0">
      <selection activeCell="B2" sqref="B2"/>
    </sheetView>
  </sheetViews>
  <sheetFormatPr baseColWidth="10" defaultColWidth="8.7265625" defaultRowHeight="14.5"/>
  <cols>
    <col width="6.1796875" bestFit="1" customWidth="1" min="1" max="1"/>
    <col width="15.54296875" bestFit="1" customWidth="1" min="2" max="2"/>
    <col width="19.1796875" bestFit="1" customWidth="1" min="3" max="3"/>
    <col width="19" bestFit="1" customWidth="1" min="4" max="4"/>
  </cols>
  <sheetData>
    <row r="1" ht="15.5" customHeight="1" thickBot="1" thickTop="1">
      <c r="A1" s="1" t="inlineStr">
        <is>
          <t>Année</t>
        </is>
      </c>
      <c r="B1" t="inlineStr">
        <is>
          <t>Salaire brut (FRF)</t>
        </is>
      </c>
      <c r="C1" s="1" t="inlineStr">
        <is>
          <t>Salaire brut (EUR)</t>
        </is>
      </c>
      <c r="D1" s="1" t="inlineStr">
        <is>
          <t>Coefficient 2023</t>
        </is>
      </c>
      <c r="E1" s="1" t="inlineStr">
        <is>
          <t>Montant au 1/1/2023</t>
        </is>
      </c>
    </row>
    <row r="2" ht="15.5" customHeight="1" thickBot="1" thickTop="1">
      <c r="A2" s="2" t="n">
        <v>1990</v>
      </c>
      <c r="B2" s="11" t="n">
        <v>68232.00319999999</v>
      </c>
      <c r="C2" s="12" t="n">
        <v>10401.22</v>
      </c>
      <c r="D2" s="13" t="n">
        <v>1.57</v>
      </c>
      <c r="E2" s="12" t="n">
        <v>16329.91</v>
      </c>
    </row>
    <row r="3" ht="15.5" customHeight="1" thickBot="1" thickTop="1">
      <c r="A3" s="2" t="n">
        <v>1991</v>
      </c>
      <c r="B3" s="11" t="n">
        <v>112024.0048</v>
      </c>
      <c r="C3" s="12" t="n">
        <v>17076.83</v>
      </c>
      <c r="D3" s="13" t="n">
        <v>1.547</v>
      </c>
      <c r="E3" s="12" t="n">
        <v>26417.85</v>
      </c>
    </row>
    <row r="4" ht="15.5" customHeight="1" thickBot="1" thickTop="1">
      <c r="A4" s="2" t="n">
        <v>1992</v>
      </c>
      <c r="B4" s="11" t="n">
        <v>103828.9904</v>
      </c>
      <c r="C4" s="12" t="n">
        <v>15827.59</v>
      </c>
      <c r="D4" s="13" t="n">
        <v>1.496</v>
      </c>
      <c r="E4" s="12" t="n">
        <v>23678.08</v>
      </c>
    </row>
    <row r="5" ht="15.5" customHeight="1" thickBot="1" thickTop="1">
      <c r="A5" s="2" t="n">
        <v>1993</v>
      </c>
      <c r="B5" s="11" t="n">
        <v>99461.9984</v>
      </c>
      <c r="C5" s="12" t="n">
        <v>15161.89</v>
      </c>
      <c r="D5" s="13" t="n">
        <v>1.496</v>
      </c>
      <c r="E5" s="12" t="n">
        <v>22682.19</v>
      </c>
    </row>
    <row r="6" ht="15.5" customHeight="1" thickBot="1" thickTop="1">
      <c r="A6" s="2" t="n">
        <v>1994</v>
      </c>
      <c r="B6" s="11" t="n">
        <v>139800.0288</v>
      </c>
      <c r="C6" s="12" t="n">
        <v>21310.98</v>
      </c>
      <c r="D6" s="13" t="n">
        <v>1.47</v>
      </c>
      <c r="E6" s="12" t="n">
        <v>31327.13</v>
      </c>
    </row>
    <row r="7" ht="15.5" customHeight="1" thickBot="1" thickTop="1">
      <c r="A7" s="2" t="n">
        <v>1995</v>
      </c>
      <c r="B7" s="11" t="n">
        <v>518657.0192</v>
      </c>
      <c r="C7" s="12" t="n">
        <v>79063.57000000001</v>
      </c>
      <c r="D7" s="13" t="n">
        <v>1.453</v>
      </c>
      <c r="E7" s="12" t="n">
        <v>114879.36</v>
      </c>
    </row>
    <row r="8" ht="15.5" customHeight="1" thickBot="1" thickTop="1">
      <c r="A8" s="2" t="n">
        <v>1996</v>
      </c>
      <c r="B8" s="11" t="n">
        <v>146554.008</v>
      </c>
      <c r="C8" s="12" t="n">
        <v>22340.55</v>
      </c>
      <c r="D8" s="13" t="n">
        <v>1.418</v>
      </c>
      <c r="E8" s="12" t="n">
        <v>31678.9</v>
      </c>
    </row>
    <row r="9" ht="15.5" customHeight="1" thickBot="1" thickTop="1">
      <c r="A9" s="2" t="n">
        <v>1997</v>
      </c>
      <c r="B9" s="11" t="n">
        <v>92033.97919999999</v>
      </c>
      <c r="C9" s="12" t="n">
        <v>14029.57</v>
      </c>
      <c r="D9" s="13" t="n">
        <v>1.403</v>
      </c>
      <c r="E9" s="12" t="n">
        <v>19683.49</v>
      </c>
    </row>
    <row r="10" ht="15.5" customHeight="1" thickBot="1" thickTop="1">
      <c r="A10" s="2" t="n">
        <v>1999</v>
      </c>
      <c r="B10" s="11" t="n">
        <v>103974.032</v>
      </c>
      <c r="C10" s="12" t="n">
        <v>15849.7</v>
      </c>
      <c r="D10" s="13" t="n">
        <v>1.371</v>
      </c>
      <c r="E10" s="12" t="n">
        <v>21729.93</v>
      </c>
    </row>
    <row r="11" ht="15.5" customHeight="1" thickBot="1" thickTop="1">
      <c r="A11" s="2" t="n">
        <v>2002</v>
      </c>
      <c r="C11" s="12" t="n">
        <v>33538</v>
      </c>
      <c r="D11" s="13" t="n">
        <v>1.307</v>
      </c>
      <c r="E11" s="12" t="n">
        <v>43834.17</v>
      </c>
    </row>
    <row r="12" ht="15.5" customHeight="1" thickBot="1" thickTop="1">
      <c r="A12" s="2" t="n">
        <v>2003</v>
      </c>
      <c r="C12" s="12" t="n">
        <v>16007</v>
      </c>
      <c r="D12" s="13" t="n">
        <v>1.286</v>
      </c>
      <c r="E12" s="12" t="n">
        <v>20585</v>
      </c>
    </row>
    <row r="13" ht="15.5" customHeight="1" thickBot="1" thickTop="1">
      <c r="A13" s="2" t="n">
        <v>2004</v>
      </c>
      <c r="C13" s="12" t="n">
        <v>18000</v>
      </c>
      <c r="D13" s="13" t="n">
        <v>1.266</v>
      </c>
      <c r="E13" s="12" t="n">
        <v>22788</v>
      </c>
    </row>
    <row r="14" ht="15.5" customHeight="1" thickBot="1" thickTop="1">
      <c r="A14" s="2" t="n">
        <v>2005</v>
      </c>
      <c r="C14" s="12" t="n">
        <v>18000</v>
      </c>
      <c r="D14" s="13" t="n">
        <v>1.243</v>
      </c>
      <c r="E14" s="12" t="n">
        <v>22374</v>
      </c>
    </row>
    <row r="15" ht="15.5" customHeight="1" thickBot="1" thickTop="1">
      <c r="A15" s="2" t="n">
        <v>2006</v>
      </c>
      <c r="C15" s="12" t="n">
        <v>22000</v>
      </c>
      <c r="D15" s="13" t="n">
        <v>1.221</v>
      </c>
      <c r="E15" s="12" t="n">
        <v>26862</v>
      </c>
    </row>
    <row r="16" ht="15.5" customHeight="1" thickBot="1" thickTop="1">
      <c r="A16" s="2" t="n">
        <v>2007</v>
      </c>
      <c r="C16" s="12" t="n">
        <v>17289</v>
      </c>
      <c r="D16" s="13" t="n">
        <v>1.201</v>
      </c>
      <c r="E16" s="12" t="n">
        <v>20764.09</v>
      </c>
    </row>
    <row r="17" ht="15.5" customHeight="1" thickBot="1" thickTop="1">
      <c r="A17" s="2" t="n">
        <v>2008</v>
      </c>
      <c r="C17" s="12" t="n">
        <v>15084</v>
      </c>
      <c r="D17" s="13" t="n">
        <v>1.189</v>
      </c>
      <c r="E17" s="12" t="n">
        <v>17934.88</v>
      </c>
    </row>
    <row r="18" ht="15.5" customHeight="1" thickBot="1" thickTop="1">
      <c r="A18" s="2" t="n">
        <v>2010</v>
      </c>
      <c r="C18" s="12" t="n">
        <v>18000</v>
      </c>
      <c r="D18" s="13" t="n">
        <v>1.168</v>
      </c>
      <c r="E18" s="12" t="n">
        <v>21024</v>
      </c>
    </row>
    <row r="19" ht="15.5" customHeight="1" thickBot="1" thickTop="1">
      <c r="A19" s="2" t="n">
        <v>2011</v>
      </c>
      <c r="C19" s="12" t="n">
        <v>21000</v>
      </c>
      <c r="D19" s="13" t="n">
        <v>1.158</v>
      </c>
      <c r="E19" s="12" t="n">
        <v>24318</v>
      </c>
    </row>
    <row r="20" ht="15.5" customHeight="1" thickBot="1" thickTop="1">
      <c r="A20" s="2" t="n">
        <v>2012</v>
      </c>
      <c r="C20" s="12" t="n">
        <v>27200</v>
      </c>
      <c r="D20" s="13" t="n">
        <v>1.135</v>
      </c>
      <c r="E20" s="12" t="n">
        <v>30872</v>
      </c>
    </row>
    <row r="21" ht="15.5" customHeight="1" thickBot="1" thickTop="1">
      <c r="A21" s="2" t="n">
        <v>2013</v>
      </c>
      <c r="C21" s="12" t="n">
        <v>33600</v>
      </c>
      <c r="D21" s="13" t="n">
        <v>1.112</v>
      </c>
      <c r="E21" s="12" t="n">
        <v>37363.2</v>
      </c>
    </row>
    <row r="22" ht="15.5" customHeight="1" thickBot="1" thickTop="1">
      <c r="A22" s="2" t="n">
        <v>2014</v>
      </c>
      <c r="C22" s="12" t="n">
        <v>36000</v>
      </c>
      <c r="D22" s="13" t="n">
        <v>1.098</v>
      </c>
      <c r="E22" s="12" t="n">
        <v>39528</v>
      </c>
    </row>
    <row r="23" ht="15.5" customHeight="1" thickBot="1" thickTop="1">
      <c r="A23" s="2" t="n">
        <v>2015</v>
      </c>
      <c r="C23" s="12" t="n">
        <v>36000</v>
      </c>
      <c r="D23" s="13" t="n">
        <v>1.098</v>
      </c>
      <c r="E23" s="12" t="n">
        <v>39528</v>
      </c>
    </row>
    <row r="24" ht="15.5" customHeight="1" thickBot="1" thickTop="1">
      <c r="A24" s="2" t="n">
        <v>2016</v>
      </c>
      <c r="C24" s="12" t="n">
        <v>36000</v>
      </c>
      <c r="D24" s="13" t="n">
        <v>1.097</v>
      </c>
      <c r="E24" s="12" t="n">
        <v>39492</v>
      </c>
    </row>
    <row r="25" ht="15.5" customHeight="1" thickBot="1" thickTop="1">
      <c r="A25" s="2" t="n">
        <v>2017</v>
      </c>
      <c r="C25" s="12" t="n">
        <v>36000</v>
      </c>
      <c r="D25" s="13" t="n">
        <v>1.097</v>
      </c>
      <c r="E25" s="12" t="n">
        <v>39492</v>
      </c>
    </row>
    <row r="26" ht="15.5" customHeight="1" thickBot="1" thickTop="1">
      <c r="A26" s="2" t="n">
        <v>2018</v>
      </c>
      <c r="C26" s="12" t="n">
        <v>39000</v>
      </c>
      <c r="D26" s="13" t="n">
        <v>1.089</v>
      </c>
      <c r="E26" s="12" t="n">
        <v>42471</v>
      </c>
    </row>
    <row r="27" ht="15.5" customHeight="1" thickBot="1" thickTop="1">
      <c r="A27" s="5" t="inlineStr">
        <is>
          <t>Total</t>
        </is>
      </c>
      <c r="C27" s="14">
        <f>SUM(B2:B26)</f>
        <v/>
      </c>
      <c r="D27" s="2" t="n"/>
      <c r="E27" s="14">
        <f>SUM(D2:D26)</f>
        <v/>
      </c>
      <c r="F27">
        <f>SUM(F2:F26)</f>
        <v/>
      </c>
    </row>
    <row r="28" ht="15.5" customHeight="1" thickBot="1" thickTop="1">
      <c r="A28" s="2" t="n"/>
      <c r="C28" s="2" t="n"/>
      <c r="D28" s="2" t="n"/>
      <c r="E28" s="15" t="n"/>
    </row>
    <row r="29" ht="15.5" customHeight="1" thickBot="1" thickTop="1">
      <c r="A29" s="2" t="n"/>
      <c r="C29" s="2" t="n"/>
      <c r="D29" s="2" t="n"/>
      <c r="E29" s="15" t="inlineStr">
        <is>
          <t>Nombre années</t>
        </is>
      </c>
    </row>
    <row r="30" ht="15.5" customHeight="1" thickBot="1" thickTop="1">
      <c r="A30" s="2" t="n"/>
      <c r="C30" s="2" t="n"/>
      <c r="D30" s="2" t="n"/>
      <c r="E30" s="12" t="inlineStr">
        <is>
          <t>Revenu de base</t>
        </is>
      </c>
      <c r="F30">
        <f>F27/F29</f>
        <v/>
      </c>
    </row>
    <row r="31" ht="15.5" customHeight="1" thickBot="1" thickTop="1">
      <c r="A31" s="2" t="n"/>
      <c r="C31" s="2" t="n"/>
      <c r="D31" s="8" t="n"/>
      <c r="E31" s="12" t="n">
        <v>0.5</v>
      </c>
      <c r="F31">
        <f>F30*F31</f>
        <v/>
      </c>
    </row>
    <row r="32" ht="15.5" customHeight="1" thickBot="1" thickTop="1">
      <c r="A32" s="2" t="n"/>
      <c r="C32" s="2" t="n"/>
      <c r="D32" s="2" t="n"/>
      <c r="E32" s="15" t="inlineStr">
        <is>
          <t>Nombre de trimestres</t>
        </is>
      </c>
    </row>
    <row r="33" ht="15.5" customHeight="1" thickBot="1" thickTop="1">
      <c r="A33" s="2" t="n"/>
      <c r="C33" s="2" t="n"/>
      <c r="D33" s="2" t="n"/>
      <c r="E33" s="12" t="inlineStr">
        <is>
          <t>Montant annuel</t>
        </is>
      </c>
      <c r="F33">
        <f>(F31*121)/167</f>
        <v/>
      </c>
    </row>
    <row r="34" ht="15.5" customHeight="1" thickBot="1" thickTop="1">
      <c r="A34" s="2" t="n"/>
      <c r="C34" s="2" t="n"/>
      <c r="D34" s="9" t="n"/>
      <c r="E34" s="16" t="inlineStr">
        <is>
          <t>Montont menseul</t>
        </is>
      </c>
      <c r="F34">
        <f>F33/12</f>
        <v/>
      </c>
    </row>
    <row r="35" ht="15" customHeight="1" thickTop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2026-10-06T17:20:47Z</dcterms:created>
  <dcterms:modified xmlns:dcterms="http://purl.org/dc/terms/" xmlns:xsi="http://www.w3.org/2001/XMLSchema-instance" xsi:type="dcterms:W3CDTF">2026-10-06T17:34:54Z</dcterms:modified>
  <cp:lastModifiedBy>USER</cp:lastModifiedBy>
</cp:coreProperties>
</file>