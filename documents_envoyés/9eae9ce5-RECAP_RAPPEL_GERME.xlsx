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500" windowWidth="19420" windowHeight="711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B30" i="1"/>
  <c r="G29"/>
  <c r="D17"/>
  <c r="C17"/>
  <c r="H15"/>
  <c r="C16"/>
  <c r="D16"/>
  <c r="E16"/>
  <c r="F16"/>
  <c r="G16"/>
  <c r="B17"/>
  <c r="B16"/>
  <c r="H16" s="1"/>
  <c r="C25" l="1"/>
  <c r="D25"/>
  <c r="B25"/>
  <c r="G24"/>
  <c r="F25"/>
  <c r="E24"/>
  <c r="H27"/>
  <c r="H19"/>
  <c r="F17"/>
  <c r="E17"/>
  <c r="H17" s="1"/>
  <c r="C13"/>
  <c r="D13"/>
  <c r="E13"/>
  <c r="F13"/>
  <c r="G13"/>
  <c r="B13"/>
  <c r="C12"/>
  <c r="D12"/>
  <c r="D29" s="1"/>
  <c r="E12"/>
  <c r="F12"/>
  <c r="G12"/>
  <c r="B12"/>
  <c r="F7"/>
  <c r="F9" s="1"/>
  <c r="E7"/>
  <c r="E8" s="1"/>
  <c r="H5"/>
  <c r="C24"/>
  <c r="D24"/>
  <c r="B24"/>
  <c r="C29" l="1"/>
  <c r="B29"/>
  <c r="G25"/>
  <c r="E25"/>
  <c r="H12"/>
  <c r="F24"/>
  <c r="H13"/>
  <c r="F8"/>
  <c r="H8" s="1"/>
  <c r="E9"/>
  <c r="H7"/>
  <c r="H9" s="1"/>
  <c r="H25" l="1"/>
  <c r="E29"/>
  <c r="F29"/>
  <c r="H24"/>
  <c r="H29" l="1"/>
</calcChain>
</file>

<file path=xl/sharedStrings.xml><?xml version="1.0" encoding="utf-8"?>
<sst xmlns="http://schemas.openxmlformats.org/spreadsheetml/2006/main" count="22" uniqueCount="19">
  <si>
    <t>PRAA</t>
  </si>
  <si>
    <t>TOTAL</t>
  </si>
  <si>
    <t>lignes sur le bulletin</t>
  </si>
  <si>
    <t>congès payés PRAA</t>
  </si>
  <si>
    <t>jours mobiles</t>
  </si>
  <si>
    <t>Jours mobiles</t>
  </si>
  <si>
    <t>rappel de sal unilatéral 93/94</t>
  </si>
  <si>
    <t>Congés payés 93/94</t>
  </si>
  <si>
    <t>rappel mesnualisation</t>
  </si>
  <si>
    <t>congés payés mensualisation</t>
  </si>
  <si>
    <t>congés payés</t>
  </si>
  <si>
    <t>Préavis</t>
  </si>
  <si>
    <t>rappel 6 derniers mois</t>
  </si>
  <si>
    <t>rappel de salaire</t>
  </si>
  <si>
    <t>TOTAL EN EURO PAR ANNEE</t>
  </si>
  <si>
    <t>TOTAL EN FRANC PAR ANNEE</t>
  </si>
  <si>
    <t>rappel examens blanc</t>
  </si>
  <si>
    <t>RAPPEL A INTEGRER AU RELEVE DE CARRIERE</t>
  </si>
  <si>
    <t>VENTILATION DU RAPPEL DE SALAIRE DE L'ARRET DE LA COUR D'APPEL DU 26 JUIN 1997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</si>
</sst>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2" fontId="1" fillId="0" borderId="1" xfId="0" applyNumberFormat="1" applyFont="1" applyBorder="1"/>
    <xf numFmtId="1" fontId="1" fillId="0" borderId="1" xfId="0" applyNumberFormat="1" applyFont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1" fontId="1" fillId="2" borderId="1" xfId="0" applyNumberFormat="1" applyFont="1" applyFill="1" applyBorder="1"/>
    <xf numFmtId="0" fontId="1" fillId="0" borderId="0" xfId="0" applyFont="1"/>
    <xf numFmtId="0" fontId="2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tabSelected="1" topLeftCell="A11" workbookViewId="0">
      <selection activeCell="G32" sqref="G32"/>
    </sheetView>
  </sheetViews>
  <sheetFormatPr baseColWidth="10" defaultRowHeight="14.5"/>
  <cols>
    <col min="1" max="1" width="20.81640625" bestFit="1" customWidth="1"/>
    <col min="2" max="4" width="8.54296875" bestFit="1" customWidth="1"/>
    <col min="5" max="5" width="12" customWidth="1"/>
    <col min="6" max="6" width="9.81640625" bestFit="1" customWidth="1"/>
    <col min="7" max="7" width="9.54296875" bestFit="1" customWidth="1"/>
    <col min="8" max="8" width="12" customWidth="1"/>
    <col min="9" max="9" width="19.1796875" bestFit="1" customWidth="1"/>
    <col min="10" max="10" width="20.453125" bestFit="1" customWidth="1"/>
    <col min="18" max="18" width="17.1796875" bestFit="1" customWidth="1"/>
    <col min="19" max="20" width="14.81640625" bestFit="1" customWidth="1"/>
  </cols>
  <sheetData>
    <row r="1" spans="1:13" ht="21.5" thickBot="1">
      <c r="A1" s="10" t="s">
        <v>17</v>
      </c>
    </row>
    <row r="2" spans="1:13" ht="15.5" thickTop="1" thickBot="1">
      <c r="A2" s="11" t="s">
        <v>18</v>
      </c>
      <c r="B2" s="12"/>
      <c r="C2" s="12"/>
      <c r="D2" s="12"/>
      <c r="E2" s="12"/>
      <c r="F2" s="12"/>
      <c r="G2" s="12"/>
      <c r="H2" s="12"/>
      <c r="I2" s="12"/>
      <c r="J2" s="13"/>
      <c r="K2" s="1"/>
      <c r="L2" s="1"/>
      <c r="M2" s="1"/>
    </row>
    <row r="3" spans="1:13" ht="15.5" thickTop="1" thickBot="1">
      <c r="A3" s="9"/>
    </row>
    <row r="4" spans="1:13" ht="15.5" thickTop="1" thickBot="1">
      <c r="A4" s="2"/>
      <c r="B4" s="2">
        <v>1990</v>
      </c>
      <c r="C4" s="2">
        <v>1991</v>
      </c>
      <c r="D4" s="2">
        <v>1992</v>
      </c>
      <c r="E4" s="2">
        <v>1993</v>
      </c>
      <c r="F4" s="2">
        <v>1994</v>
      </c>
      <c r="G4" s="2">
        <v>1995</v>
      </c>
      <c r="H4" s="4" t="s">
        <v>1</v>
      </c>
      <c r="I4" s="4" t="s">
        <v>2</v>
      </c>
      <c r="J4" s="4"/>
      <c r="K4" s="1"/>
    </row>
    <row r="5" spans="1:13" ht="15.5" thickTop="1" thickBot="1">
      <c r="A5" s="2" t="s">
        <v>5</v>
      </c>
      <c r="B5" s="3">
        <v>635.4</v>
      </c>
      <c r="C5" s="3">
        <v>1824.4</v>
      </c>
      <c r="D5" s="3"/>
      <c r="E5" s="3"/>
      <c r="F5" s="3"/>
      <c r="G5" s="3"/>
      <c r="H5" s="3">
        <f>SUM(B5:G5)</f>
        <v>2459.8000000000002</v>
      </c>
      <c r="I5" s="5">
        <v>1</v>
      </c>
      <c r="J5" s="5"/>
      <c r="K5" s="1"/>
    </row>
    <row r="6" spans="1:13" ht="15.5" thickTop="1" thickBot="1">
      <c r="A6" s="7"/>
      <c r="B6" s="7"/>
      <c r="C6" s="7"/>
      <c r="D6" s="7"/>
      <c r="E6" s="7"/>
      <c r="F6" s="7"/>
      <c r="G6" s="7"/>
      <c r="H6" s="7"/>
      <c r="I6" s="7"/>
      <c r="J6" s="7"/>
      <c r="K6" s="1"/>
    </row>
    <row r="7" spans="1:13" ht="30" thickTop="1" thickBot="1">
      <c r="A7" s="6" t="s">
        <v>6</v>
      </c>
      <c r="B7" s="2">
        <v>0</v>
      </c>
      <c r="C7" s="2">
        <v>0</v>
      </c>
      <c r="D7" s="2">
        <v>0</v>
      </c>
      <c r="E7" s="2">
        <f>18900/2</f>
        <v>9450</v>
      </c>
      <c r="F7" s="2">
        <f>18900/2</f>
        <v>9450</v>
      </c>
      <c r="G7" s="2">
        <v>0</v>
      </c>
      <c r="H7" s="4">
        <f>SUM(E7:G7)</f>
        <v>18900</v>
      </c>
      <c r="I7" s="5">
        <v>2</v>
      </c>
      <c r="J7" s="5"/>
      <c r="K7" s="1"/>
    </row>
    <row r="8" spans="1:13" ht="15.5" thickTop="1" thickBot="1">
      <c r="A8" s="2" t="s">
        <v>7</v>
      </c>
      <c r="B8" s="2">
        <v>0</v>
      </c>
      <c r="C8" s="2">
        <v>0</v>
      </c>
      <c r="D8" s="2">
        <v>0</v>
      </c>
      <c r="E8" s="2">
        <f>E7*10%</f>
        <v>945</v>
      </c>
      <c r="F8" s="2">
        <f>F7*10%</f>
        <v>945</v>
      </c>
      <c r="G8" s="2">
        <v>0</v>
      </c>
      <c r="H8" s="4">
        <f>SUM(E8:G8)</f>
        <v>1890</v>
      </c>
      <c r="I8" s="5">
        <v>3</v>
      </c>
      <c r="J8" s="5"/>
      <c r="K8" s="1"/>
    </row>
    <row r="9" spans="1:13" ht="15.5" thickTop="1" thickBot="1">
      <c r="A9" s="2" t="s">
        <v>4</v>
      </c>
      <c r="B9" s="2">
        <v>0</v>
      </c>
      <c r="C9" s="2">
        <v>0</v>
      </c>
      <c r="D9" s="2">
        <v>0</v>
      </c>
      <c r="E9" s="2">
        <f>E7*2%</f>
        <v>189</v>
      </c>
      <c r="F9" s="2">
        <f>F7*2%</f>
        <v>189</v>
      </c>
      <c r="G9" s="2">
        <v>0</v>
      </c>
      <c r="H9" s="2">
        <f>H7*2%</f>
        <v>378</v>
      </c>
      <c r="I9" s="5">
        <v>4</v>
      </c>
      <c r="J9" s="5"/>
      <c r="K9" s="1"/>
    </row>
    <row r="10" spans="1:13" ht="15.5" thickTop="1" thickBot="1">
      <c r="A10" s="7"/>
      <c r="B10" s="7"/>
      <c r="C10" s="7"/>
      <c r="D10" s="7"/>
      <c r="E10" s="7"/>
      <c r="F10" s="7"/>
      <c r="G10" s="7"/>
      <c r="H10" s="7"/>
      <c r="I10" s="8"/>
      <c r="J10" s="8"/>
      <c r="K10" s="1"/>
    </row>
    <row r="11" spans="1:13" ht="15.5" thickTop="1" thickBot="1">
      <c r="A11" s="2" t="s">
        <v>8</v>
      </c>
      <c r="B11" s="3">
        <v>3456.21</v>
      </c>
      <c r="C11" s="3">
        <v>13824.83</v>
      </c>
      <c r="D11" s="3">
        <v>13824.83</v>
      </c>
      <c r="E11" s="3">
        <v>13824.83</v>
      </c>
      <c r="F11" s="3">
        <v>13824.83</v>
      </c>
      <c r="G11" s="3">
        <v>8064.48</v>
      </c>
      <c r="H11" s="3">
        <v>66820</v>
      </c>
      <c r="I11" s="5">
        <v>5</v>
      </c>
      <c r="J11" s="5"/>
      <c r="K11" s="1"/>
    </row>
    <row r="12" spans="1:13" ht="15.5" thickTop="1" thickBot="1">
      <c r="A12" s="2" t="s">
        <v>9</v>
      </c>
      <c r="B12" s="3">
        <f>B11*10%</f>
        <v>345.62100000000004</v>
      </c>
      <c r="C12" s="3">
        <f t="shared" ref="C12:G12" si="0">C11*10%</f>
        <v>1382.4830000000002</v>
      </c>
      <c r="D12" s="3">
        <f t="shared" si="0"/>
        <v>1382.4830000000002</v>
      </c>
      <c r="E12" s="3">
        <f t="shared" si="0"/>
        <v>1382.4830000000002</v>
      </c>
      <c r="F12" s="3">
        <f t="shared" si="0"/>
        <v>1382.4830000000002</v>
      </c>
      <c r="G12" s="3">
        <f t="shared" si="0"/>
        <v>806.44799999999998</v>
      </c>
      <c r="H12" s="3">
        <f>SUM(B12:G12)</f>
        <v>6682.0010000000011</v>
      </c>
      <c r="I12" s="5">
        <v>6</v>
      </c>
      <c r="J12" s="5"/>
      <c r="K12" s="1"/>
    </row>
    <row r="13" spans="1:13" ht="15.5" thickTop="1" thickBot="1">
      <c r="A13" s="2" t="s">
        <v>4</v>
      </c>
      <c r="B13" s="3">
        <f>B11*2%</f>
        <v>69.124200000000002</v>
      </c>
      <c r="C13" s="3">
        <f t="shared" ref="C13:G13" si="1">C11*2%</f>
        <v>276.4966</v>
      </c>
      <c r="D13" s="3">
        <f t="shared" si="1"/>
        <v>276.4966</v>
      </c>
      <c r="E13" s="3">
        <f t="shared" si="1"/>
        <v>276.4966</v>
      </c>
      <c r="F13" s="3">
        <f t="shared" si="1"/>
        <v>276.4966</v>
      </c>
      <c r="G13" s="3">
        <f t="shared" si="1"/>
        <v>161.28960000000001</v>
      </c>
      <c r="H13" s="3">
        <f>SUM(B13:G13)</f>
        <v>1336.4002</v>
      </c>
      <c r="I13" s="5">
        <v>7</v>
      </c>
      <c r="J13" s="5"/>
      <c r="K13" s="1"/>
    </row>
    <row r="14" spans="1:13" ht="8.25" customHeight="1" thickTop="1" thickBot="1">
      <c r="A14" s="7"/>
      <c r="B14" s="7"/>
      <c r="C14" s="7"/>
      <c r="D14" s="7"/>
      <c r="E14" s="7"/>
      <c r="F14" s="7"/>
      <c r="G14" s="7"/>
      <c r="H14" s="7"/>
      <c r="I14" s="8"/>
      <c r="J14" s="8"/>
      <c r="K14" s="1"/>
    </row>
    <row r="15" spans="1:13" ht="15.5" thickTop="1" thickBot="1">
      <c r="A15" s="2" t="s">
        <v>16</v>
      </c>
      <c r="B15" s="3">
        <v>2430</v>
      </c>
      <c r="C15" s="3">
        <v>2430</v>
      </c>
      <c r="D15" s="3">
        <v>2430</v>
      </c>
      <c r="E15" s="3">
        <v>0</v>
      </c>
      <c r="F15" s="3">
        <v>0</v>
      </c>
      <c r="G15" s="3">
        <v>0</v>
      </c>
      <c r="H15" s="3">
        <f>SUM(B15:G15)</f>
        <v>7290</v>
      </c>
      <c r="I15" s="5">
        <v>8</v>
      </c>
      <c r="J15" s="5"/>
      <c r="K15" s="1"/>
    </row>
    <row r="16" spans="1:13" ht="15.5" thickTop="1" thickBot="1">
      <c r="A16" s="2" t="s">
        <v>10</v>
      </c>
      <c r="B16" s="3">
        <f>B15*10%</f>
        <v>243</v>
      </c>
      <c r="C16" s="3">
        <f t="shared" ref="C16:G16" si="2">C15*10%</f>
        <v>243</v>
      </c>
      <c r="D16" s="3">
        <f t="shared" si="2"/>
        <v>243</v>
      </c>
      <c r="E16" s="3">
        <f t="shared" si="2"/>
        <v>0</v>
      </c>
      <c r="F16" s="3">
        <f t="shared" si="2"/>
        <v>0</v>
      </c>
      <c r="G16" s="3">
        <f t="shared" si="2"/>
        <v>0</v>
      </c>
      <c r="H16" s="3">
        <f>SUM(B16:G16)</f>
        <v>729</v>
      </c>
      <c r="I16" s="5">
        <v>9</v>
      </c>
      <c r="J16" s="5"/>
      <c r="K16" s="1"/>
    </row>
    <row r="17" spans="1:11" ht="15.5" thickTop="1" thickBot="1">
      <c r="A17" s="2" t="s">
        <v>4</v>
      </c>
      <c r="B17" s="3">
        <f>B15*2%</f>
        <v>48.6</v>
      </c>
      <c r="C17" s="3">
        <f>C15*2%</f>
        <v>48.6</v>
      </c>
      <c r="D17" s="3">
        <f>D15*2%</f>
        <v>48.6</v>
      </c>
      <c r="E17" s="3">
        <f>E15*2%</f>
        <v>0</v>
      </c>
      <c r="F17" s="3">
        <f>F15*2%</f>
        <v>0</v>
      </c>
      <c r="G17" s="3"/>
      <c r="H17" s="3">
        <f>SUM(B17:G18)</f>
        <v>145.80000000000001</v>
      </c>
      <c r="I17" s="5">
        <v>10</v>
      </c>
      <c r="J17" s="5"/>
      <c r="K17" s="1"/>
    </row>
    <row r="18" spans="1:11" ht="7.5" customHeight="1" thickTop="1" thickBot="1">
      <c r="A18" s="7"/>
      <c r="B18" s="7">
        <v>0</v>
      </c>
      <c r="C18" s="7">
        <v>0</v>
      </c>
      <c r="D18" s="7"/>
      <c r="E18" s="7"/>
      <c r="F18" s="7"/>
      <c r="G18" s="7"/>
      <c r="H18" s="7"/>
      <c r="I18" s="7"/>
      <c r="J18" s="7"/>
      <c r="K18" s="1"/>
    </row>
    <row r="19" spans="1:11" ht="15.5" thickTop="1" thickBot="1">
      <c r="A19" s="2" t="s">
        <v>11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17690.400000000001</v>
      </c>
      <c r="H19" s="3">
        <f>SUM(G19)</f>
        <v>17690.400000000001</v>
      </c>
      <c r="I19" s="5">
        <v>11</v>
      </c>
      <c r="J19" s="5"/>
      <c r="K19" s="1"/>
    </row>
    <row r="20" spans="1:11" ht="7.5" customHeight="1" thickTop="1" thickBot="1">
      <c r="A20" s="7"/>
      <c r="B20" s="7"/>
      <c r="C20" s="7"/>
      <c r="D20" s="7"/>
      <c r="E20" s="7"/>
      <c r="F20" s="7"/>
      <c r="G20" s="7"/>
      <c r="H20" s="7"/>
      <c r="I20" s="7"/>
      <c r="J20" s="7"/>
      <c r="K20" s="1"/>
    </row>
    <row r="21" spans="1:11" ht="15.5" thickTop="1" thickBot="1">
      <c r="A21" s="2" t="s">
        <v>12</v>
      </c>
      <c r="B21" s="3"/>
      <c r="C21" s="3"/>
      <c r="D21" s="3"/>
      <c r="E21" s="3"/>
      <c r="F21" s="3"/>
      <c r="G21" s="3">
        <v>58352.93</v>
      </c>
      <c r="H21" s="3">
        <v>58352.93</v>
      </c>
      <c r="I21" s="5">
        <v>12</v>
      </c>
      <c r="J21" s="5"/>
      <c r="K21" s="1"/>
    </row>
    <row r="22" spans="1:11" ht="9.75" customHeight="1" thickTop="1" thickBot="1">
      <c r="A22" s="7"/>
      <c r="B22" s="7"/>
      <c r="C22" s="7"/>
      <c r="D22" s="7"/>
      <c r="E22" s="7"/>
      <c r="F22" s="7"/>
      <c r="G22" s="7"/>
      <c r="H22" s="7"/>
      <c r="I22" s="7"/>
      <c r="J22" s="7"/>
      <c r="K22" s="1"/>
    </row>
    <row r="23" spans="1:11" ht="15.5" thickTop="1" thickBot="1">
      <c r="A23" s="2" t="s">
        <v>0</v>
      </c>
      <c r="B23" s="3">
        <v>13705.35</v>
      </c>
      <c r="C23" s="3">
        <v>43645.71</v>
      </c>
      <c r="D23" s="3">
        <v>40452.86</v>
      </c>
      <c r="E23" s="3">
        <v>38751.43</v>
      </c>
      <c r="F23" s="3">
        <v>47423.62</v>
      </c>
      <c r="G23" s="3">
        <v>26901.48</v>
      </c>
      <c r="H23" s="4">
        <v>210880.46</v>
      </c>
      <c r="I23" s="5">
        <v>13</v>
      </c>
      <c r="J23" s="5"/>
    </row>
    <row r="24" spans="1:11" ht="15.5" thickTop="1" thickBot="1">
      <c r="A24" s="2" t="s">
        <v>3</v>
      </c>
      <c r="B24" s="3">
        <f>B23*10%</f>
        <v>1370.5350000000001</v>
      </c>
      <c r="C24" s="3">
        <f t="shared" ref="C24:G24" si="3">C23*10%</f>
        <v>4364.5709999999999</v>
      </c>
      <c r="D24" s="3">
        <f t="shared" si="3"/>
        <v>4045.2860000000001</v>
      </c>
      <c r="E24" s="3">
        <f t="shared" si="3"/>
        <v>3875.143</v>
      </c>
      <c r="F24" s="3">
        <f t="shared" si="3"/>
        <v>4742.3620000000001</v>
      </c>
      <c r="G24" s="3">
        <f t="shared" si="3"/>
        <v>2690.1480000000001</v>
      </c>
      <c r="H24" s="4">
        <f>H23*10%</f>
        <v>21088.046000000002</v>
      </c>
      <c r="I24" s="5">
        <v>14</v>
      </c>
      <c r="J24" s="5"/>
    </row>
    <row r="25" spans="1:11" ht="15.5" thickTop="1" thickBot="1">
      <c r="A25" s="2" t="s">
        <v>4</v>
      </c>
      <c r="B25" s="3">
        <f>B23*2%</f>
        <v>274.10700000000003</v>
      </c>
      <c r="C25" s="3">
        <f t="shared" ref="C25:G25" si="4">C23*2%</f>
        <v>872.91420000000005</v>
      </c>
      <c r="D25" s="3">
        <f t="shared" si="4"/>
        <v>809.05720000000008</v>
      </c>
      <c r="E25" s="3">
        <f t="shared" si="4"/>
        <v>775.02859999999998</v>
      </c>
      <c r="F25" s="3">
        <f t="shared" si="4"/>
        <v>948.47240000000011</v>
      </c>
      <c r="G25" s="3">
        <f t="shared" si="4"/>
        <v>538.02959999999996</v>
      </c>
      <c r="H25" s="4">
        <f>SUM(B25:G25)</f>
        <v>4217.6090000000004</v>
      </c>
      <c r="I25" s="5">
        <v>16</v>
      </c>
      <c r="J25" s="5"/>
    </row>
    <row r="26" spans="1:11" ht="7.5" customHeight="1" thickTop="1" thickBot="1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1" ht="15.5" thickTop="1" thickBot="1">
      <c r="A27" s="2" t="s">
        <v>13</v>
      </c>
      <c r="B27" s="3"/>
      <c r="C27" s="3"/>
      <c r="D27" s="3"/>
      <c r="E27" s="3"/>
      <c r="F27" s="3"/>
      <c r="G27" s="3">
        <v>29484</v>
      </c>
      <c r="H27" s="4">
        <f>SUM(G27)</f>
        <v>29484</v>
      </c>
      <c r="I27" s="5">
        <v>15</v>
      </c>
      <c r="J27" s="5"/>
    </row>
    <row r="28" spans="1:11" ht="8.25" customHeight="1" thickTop="1" thickBot="1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1" ht="30" thickTop="1" thickBot="1">
      <c r="A29" s="6" t="s">
        <v>15</v>
      </c>
      <c r="B29" s="3">
        <f>SUM(B5:B28)</f>
        <v>22577.947200000002</v>
      </c>
      <c r="C29" s="3">
        <f t="shared" ref="C29:F29" si="5">SUM(C5:C28)</f>
        <v>68913.004799999995</v>
      </c>
      <c r="D29" s="3">
        <f t="shared" si="5"/>
        <v>63512.612800000003</v>
      </c>
      <c r="E29" s="3">
        <f t="shared" si="5"/>
        <v>69469.411200000002</v>
      </c>
      <c r="F29" s="3">
        <f t="shared" si="5"/>
        <v>79182.263999999996</v>
      </c>
      <c r="G29" s="3">
        <f>SUM(G5:G27)</f>
        <v>144689.2052</v>
      </c>
      <c r="H29" s="3">
        <f>SUM(H5:H27)</f>
        <v>448344.44619999995</v>
      </c>
      <c r="I29" s="5">
        <v>17</v>
      </c>
      <c r="J29" s="5"/>
    </row>
    <row r="30" spans="1:11" ht="30" thickTop="1" thickBot="1">
      <c r="A30" s="6" t="s">
        <v>14</v>
      </c>
      <c r="B30" s="3">
        <f>B29/6.55957</f>
        <v>3441.9858618781418</v>
      </c>
      <c r="C30" s="3">
        <v>10505.72</v>
      </c>
      <c r="D30" s="3">
        <v>9682.44</v>
      </c>
      <c r="E30" s="3">
        <v>10590.54</v>
      </c>
      <c r="F30" s="3">
        <v>12071.26</v>
      </c>
      <c r="G30" s="3">
        <v>22057.73</v>
      </c>
      <c r="H30" s="3">
        <v>68349.67</v>
      </c>
      <c r="I30" s="5"/>
      <c r="J30" s="5"/>
    </row>
    <row r="31" spans="1:11" ht="15" thickTop="1">
      <c r="G31" s="1"/>
      <c r="H31" s="1"/>
    </row>
    <row r="32" spans="1:11">
      <c r="H32" s="1"/>
    </row>
    <row r="90" spans="14:15" ht="16.5" customHeight="1"/>
    <row r="96" spans="14:15">
      <c r="N96" s="1"/>
      <c r="O96" s="1"/>
    </row>
    <row r="97" spans="16:16">
      <c r="P97" s="1"/>
    </row>
    <row r="100" spans="16:16">
      <c r="P100" s="1"/>
    </row>
  </sheetData>
  <mergeCells count="1">
    <mergeCell ref="A2:J2"/>
  </mergeCells>
  <pageMargins left="0.70866141732283461" right="0.70866141732283461" top="0.74803149606299213" bottom="0.74803149606299213" header="0.31496062992125984" footer="0.31496062992125984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USER</cp:lastModifiedBy>
  <cp:lastPrinted>2024-11-13T17:18:31Z</cp:lastPrinted>
  <dcterms:created xsi:type="dcterms:W3CDTF">2023-06-15T15:13:30Z</dcterms:created>
  <dcterms:modified xsi:type="dcterms:W3CDTF">2024-11-13T17:56:26Z</dcterms:modified>
</cp:coreProperties>
</file>