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70" yWindow="550" windowWidth="18640" windowHeight="6740"/>
  </bookViews>
  <sheets>
    <sheet name="Détail par année" sheetId="1" r:id="rId1"/>
  </sheets>
  <calcPr calcId="124519"/>
</workbook>
</file>

<file path=xl/calcChain.xml><?xml version="1.0" encoding="utf-8"?>
<calcChain xmlns="http://schemas.openxmlformats.org/spreadsheetml/2006/main">
  <c r="F27" i="1"/>
  <c r="D24"/>
  <c r="I4"/>
  <c r="D21"/>
</calcChain>
</file>

<file path=xl/sharedStrings.xml><?xml version="1.0" encoding="utf-8"?>
<sst xmlns="http://schemas.openxmlformats.org/spreadsheetml/2006/main" count="44" uniqueCount="42">
  <si>
    <t>Source / Justification</t>
  </si>
  <si>
    <t>1995 (FRF)</t>
  </si>
  <si>
    <t>1995 (€)</t>
  </si>
  <si>
    <t>1996 (FRF)</t>
  </si>
  <si>
    <t>1996 (€)</t>
  </si>
  <si>
    <t>GERME - Salaire initial 1995</t>
  </si>
  <si>
    <t>Relevé 01/01/2023 (avant révision CRA)</t>
  </si>
  <si>
    <t>GERME - Arrêt du 26 juin 1997 (10/09-09/11/1995)</t>
  </si>
  <si>
    <t>Bulletin 448 344,41 FRF</t>
  </si>
  <si>
    <t>GERME - Arrêt du 13 juin 1996</t>
  </si>
  <si>
    <t xml:space="preserve">  └─ Salaire 09/95</t>
  </si>
  <si>
    <t>Bulletin Salaire 09/95 = 5 896,80</t>
  </si>
  <si>
    <t xml:space="preserve">  └─ Salaire 10/95 à 02/96 (1995: 3 mois)</t>
  </si>
  <si>
    <t>Bulletin × 3/5 = 35 380,80</t>
  </si>
  <si>
    <t xml:space="preserve">  └─ Salaire 10/95 à 02/96 (1996: 2 mois)</t>
  </si>
  <si>
    <t>Bulletin × 2/5 = 23 587,20</t>
  </si>
  <si>
    <t xml:space="preserve">  └─ TOTAL BULLETIN: 64 864,80 FRF</t>
  </si>
  <si>
    <t>09/95 à 02/96: 5896,80 + 58968</t>
  </si>
  <si>
    <t>GERME Sous-total 1995</t>
  </si>
  <si>
    <t>INSTITUT SUP COMMERCE INFORMATIQUE ORSAY</t>
  </si>
  <si>
    <t>Relevé 27/09/2026</t>
  </si>
  <si>
    <t>INSTITUT SUPERIEUR INTERNATIONA COMMERCE (01/02-30/04)</t>
  </si>
  <si>
    <t>INSTITUT SUPERIEUR INTERNATIONA COMMERCE (01/01-30/06)</t>
  </si>
  <si>
    <t>Autres employeurs Sous-total</t>
  </si>
  <si>
    <t>TOTAL GÉNÉRAL</t>
  </si>
  <si>
    <t>GERME Sous-total 1996 (quote part arrêt dun13 juin 1996)</t>
  </si>
  <si>
    <t>Dont 90/95 ARRET 97 GERME</t>
  </si>
  <si>
    <t>donc</t>
  </si>
  <si>
    <t>GERME 1995 en euros:</t>
  </si>
  <si>
    <r>
      <t xml:space="preserve">Salaire initial: 70 313 FRF = </t>
    </r>
    <r>
      <rPr>
        <b/>
        <sz val="11"/>
        <color theme="1"/>
        <rFont val="Calibri"/>
        <family val="2"/>
        <scheme val="minor"/>
      </rPr>
      <t>10 719,15 €</t>
    </r>
  </si>
  <si>
    <r>
      <t xml:space="preserve">Rappel 90/95: 448 344 FRF = </t>
    </r>
    <r>
      <rPr>
        <b/>
        <sz val="11"/>
        <color theme="1"/>
        <rFont val="Calibri"/>
        <family val="2"/>
        <scheme val="minor"/>
      </rPr>
      <t>68 349,60 €</t>
    </r>
  </si>
  <si>
    <r>
      <t xml:space="preserve">Quote-part 1995: 41 278 FRF = </t>
    </r>
    <r>
      <rPr>
        <b/>
        <sz val="11"/>
        <color theme="1"/>
        <rFont val="Calibri"/>
        <family val="2"/>
        <scheme val="minor"/>
      </rPr>
      <t>6 292,79 €</t>
    </r>
  </si>
  <si>
    <t>TOTAL GERME 1995: 559 935 FRF = 85 361,54 €</t>
  </si>
  <si>
    <t>AUTRES EMPLOYEURS 1995 en euros:</t>
  </si>
  <si>
    <r>
      <t xml:space="preserve">INSTITUT SUP COMMERCE INFORMATIQUE ORSAY: 99 341 FRF = </t>
    </r>
    <r>
      <rPr>
        <b/>
        <sz val="11"/>
        <color theme="1"/>
        <rFont val="Calibri"/>
        <family val="2"/>
        <scheme val="minor"/>
      </rPr>
      <t>15 144,44 €</t>
    </r>
  </si>
  <si>
    <r>
      <t xml:space="preserve">INSTITUT SUPERIEUR INTERNATIONA COMMERCE: 6 325 FRF + 11 615 FRF = </t>
    </r>
    <r>
      <rPr>
        <b/>
        <sz val="11"/>
        <color theme="1"/>
        <rFont val="Calibri"/>
        <family val="2"/>
        <scheme val="minor"/>
      </rPr>
      <t>2 735,00 €</t>
    </r>
  </si>
  <si>
    <t>TOTAL AUTRES EMPLOYEURS: 117 281 FRF = 17 879,44 €</t>
  </si>
  <si>
    <t>TOTAL ANNÉE 1995: 677 216 FRF = 103 240,98 €</t>
  </si>
  <si>
    <t>coffecient au 1 janvier 2025</t>
  </si>
  <si>
    <t>Somme actualisée</t>
  </si>
  <si>
    <t xml:space="preserve">Total sur le relevé </t>
  </si>
  <si>
    <t>Differnce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</si>
</sst>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  <font>
      <b/>
      <sz val="11"/>
      <color rgb="FFC6591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FFF2CC"/>
        <bgColor rgb="FFFFF2CC"/>
      </patternFill>
    </fill>
    <fill>
      <patternFill patternType="solid">
        <fgColor rgb="FFE8EEF7"/>
        <bgColor rgb="FFE8EEF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3" fontId="0" fillId="0" borderId="1" xfId="0" applyNumberFormat="1" applyBorder="1" applyAlignment="1">
      <alignment horizontal="center" vertical="center" wrapText="1"/>
    </xf>
    <xf numFmtId="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top" wrapText="1"/>
    </xf>
    <xf numFmtId="3" fontId="2" fillId="3" borderId="1" xfId="0" applyNumberFormat="1" applyFont="1" applyFill="1" applyBorder="1" applyAlignment="1">
      <alignment horizontal="center" vertical="center" wrapText="1"/>
    </xf>
    <xf numFmtId="4" fontId="2" fillId="3" borderId="1" xfId="0" applyNumberFormat="1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left" vertical="top" wrapText="1"/>
    </xf>
    <xf numFmtId="0" fontId="0" fillId="4" borderId="1" xfId="0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top" wrapText="1"/>
    </xf>
    <xf numFmtId="3" fontId="3" fillId="4" borderId="1" xfId="0" applyNumberFormat="1" applyFont="1" applyFill="1" applyBorder="1" applyAlignment="1">
      <alignment horizontal="center" vertical="center" wrapText="1"/>
    </xf>
    <xf numFmtId="4" fontId="3" fillId="4" borderId="1" xfId="0" applyNumberFormat="1" applyFont="1" applyFill="1" applyBorder="1" applyAlignment="1">
      <alignment horizontal="center" vertical="center" wrapText="1"/>
    </xf>
    <xf numFmtId="4" fontId="4" fillId="0" borderId="1" xfId="0" applyNumberFormat="1" applyFont="1" applyBorder="1" applyAlignment="1">
      <alignment horizontal="center" vertical="center" wrapText="1"/>
    </xf>
    <xf numFmtId="4" fontId="4" fillId="0" borderId="0" xfId="0" applyNumberFormat="1" applyFont="1"/>
    <xf numFmtId="3" fontId="0" fillId="0" borderId="0" xfId="0" applyNumberFormat="1"/>
    <xf numFmtId="0" fontId="5" fillId="0" borderId="0" xfId="0" applyFont="1"/>
    <xf numFmtId="0" fontId="0" fillId="0" borderId="0" xfId="0" applyAlignment="1">
      <alignment horizontal="left" indent="1"/>
    </xf>
    <xf numFmtId="0" fontId="5" fillId="0" borderId="0" xfId="0" applyFont="1" applyAlignment="1">
      <alignment horizontal="left" indent="1"/>
    </xf>
    <xf numFmtId="3" fontId="4" fillId="0" borderId="0" xfId="0" applyNumberFormat="1" applyFon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6"/>
  <sheetViews>
    <sheetView tabSelected="1" workbookViewId="0">
      <selection sqref="A1:F19"/>
    </sheetView>
  </sheetViews>
  <sheetFormatPr baseColWidth="10" defaultColWidth="8.7265625" defaultRowHeight="14.5"/>
  <cols>
    <col min="1" max="1" width="49.6328125" bestFit="1" customWidth="1"/>
    <col min="2" max="2" width="33.90625" bestFit="1" customWidth="1"/>
    <col min="3" max="3" width="25.1796875" bestFit="1" customWidth="1"/>
    <col min="4" max="4" width="14" customWidth="1"/>
    <col min="5" max="5" width="8.6328125" bestFit="1" customWidth="1"/>
    <col min="6" max="6" width="10.36328125" bestFit="1" customWidth="1"/>
  </cols>
  <sheetData>
    <row r="1" spans="1:9" ht="30" customHeight="1">
      <c r="A1" s="1" t="s">
        <v>27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9">
      <c r="A2" s="2" t="s">
        <v>5</v>
      </c>
      <c r="B2" s="2" t="s">
        <v>6</v>
      </c>
      <c r="C2" s="3">
        <v>70313</v>
      </c>
      <c r="D2" s="4">
        <v>10719.147749014041</v>
      </c>
      <c r="E2" s="5"/>
      <c r="F2" s="5"/>
    </row>
    <row r="3" spans="1:9">
      <c r="A3" s="2" t="s">
        <v>7</v>
      </c>
      <c r="B3" s="2" t="s">
        <v>8</v>
      </c>
      <c r="C3" s="3">
        <v>448344</v>
      </c>
      <c r="D3" s="4">
        <v>68349.602184289513</v>
      </c>
      <c r="E3" s="5"/>
      <c r="F3" s="5"/>
    </row>
    <row r="4" spans="1:9">
      <c r="A4" s="2" t="s">
        <v>9</v>
      </c>
      <c r="B4" s="2"/>
      <c r="C4" s="5"/>
      <c r="D4" s="5"/>
      <c r="E4" s="5"/>
      <c r="F4" s="5"/>
      <c r="I4" s="16">
        <f>C2+C3</f>
        <v>518657</v>
      </c>
    </row>
    <row r="5" spans="1:9">
      <c r="A5" s="2" t="s">
        <v>10</v>
      </c>
      <c r="B5" s="2" t="s">
        <v>11</v>
      </c>
      <c r="C5" s="3">
        <v>5897</v>
      </c>
      <c r="D5" s="4">
        <v>898.99185464900904</v>
      </c>
      <c r="E5" s="5"/>
      <c r="F5" s="5"/>
    </row>
    <row r="6" spans="1:9">
      <c r="A6" s="2" t="s">
        <v>12</v>
      </c>
      <c r="B6" s="2" t="s">
        <v>13</v>
      </c>
      <c r="C6" s="3">
        <v>35381</v>
      </c>
      <c r="D6" s="4">
        <v>5393.7986788768167</v>
      </c>
      <c r="E6" s="5"/>
      <c r="F6" s="5"/>
    </row>
    <row r="7" spans="1:9">
      <c r="A7" s="2" t="s">
        <v>14</v>
      </c>
      <c r="B7" s="2" t="s">
        <v>15</v>
      </c>
      <c r="C7" s="5"/>
      <c r="D7" s="5"/>
      <c r="E7" s="3">
        <v>23587</v>
      </c>
      <c r="F7" s="4">
        <v>3595.8149695787988</v>
      </c>
    </row>
    <row r="8" spans="1:9">
      <c r="A8" s="6" t="s">
        <v>16</v>
      </c>
      <c r="B8" s="6" t="s">
        <v>17</v>
      </c>
      <c r="C8" s="7">
        <v>41278</v>
      </c>
      <c r="D8" s="8">
        <v>6292.7905335258256</v>
      </c>
      <c r="E8" s="7">
        <v>23587</v>
      </c>
      <c r="F8" s="8">
        <v>3595.8149695787988</v>
      </c>
    </row>
    <row r="9" spans="1:9">
      <c r="A9" s="9"/>
      <c r="B9" s="9"/>
      <c r="C9" s="10"/>
      <c r="D9" s="10"/>
      <c r="E9" s="10"/>
      <c r="F9" s="10"/>
    </row>
    <row r="10" spans="1:9">
      <c r="A10" s="11" t="s">
        <v>18</v>
      </c>
      <c r="B10" s="9"/>
      <c r="C10" s="12">
        <v>559935</v>
      </c>
      <c r="D10" s="13">
        <v>85361.540466829378</v>
      </c>
      <c r="E10" s="10"/>
      <c r="F10" s="10"/>
    </row>
    <row r="11" spans="1:9">
      <c r="A11" s="2" t="s">
        <v>25</v>
      </c>
      <c r="B11" s="2"/>
      <c r="C11" s="5"/>
      <c r="D11" s="5"/>
      <c r="E11" s="3">
        <v>23587</v>
      </c>
      <c r="F11" s="4">
        <v>3595.8149695787988</v>
      </c>
    </row>
    <row r="12" spans="1:9">
      <c r="A12" s="2"/>
      <c r="B12" s="2"/>
      <c r="C12" s="5"/>
      <c r="D12" s="5"/>
      <c r="E12" s="5"/>
      <c r="F12" s="5"/>
    </row>
    <row r="13" spans="1:9">
      <c r="A13" s="2" t="s">
        <v>19</v>
      </c>
      <c r="B13" s="2" t="s">
        <v>20</v>
      </c>
      <c r="C13" s="3">
        <v>99341</v>
      </c>
      <c r="D13" s="4">
        <v>15144.437821381591</v>
      </c>
      <c r="E13" s="5"/>
      <c r="F13" s="5"/>
    </row>
    <row r="14" spans="1:9" ht="29">
      <c r="A14" s="2" t="s">
        <v>21</v>
      </c>
      <c r="B14" s="2" t="s">
        <v>20</v>
      </c>
      <c r="C14" s="3">
        <v>6325</v>
      </c>
      <c r="D14" s="4">
        <v>964.24003402662061</v>
      </c>
      <c r="E14" s="5"/>
      <c r="F14" s="5"/>
    </row>
    <row r="15" spans="1:9" ht="29">
      <c r="A15" s="2" t="s">
        <v>22</v>
      </c>
      <c r="B15" s="2" t="s">
        <v>20</v>
      </c>
      <c r="C15" s="3">
        <v>11615</v>
      </c>
      <c r="D15" s="4">
        <v>1770.695335212522</v>
      </c>
      <c r="E15" s="5"/>
      <c r="F15" s="5"/>
    </row>
    <row r="16" spans="1:9">
      <c r="A16" s="9"/>
      <c r="B16" s="9"/>
      <c r="C16" s="10"/>
      <c r="D16" s="10"/>
      <c r="E16" s="10"/>
      <c r="F16" s="10"/>
    </row>
    <row r="17" spans="1:6">
      <c r="A17" s="2" t="s">
        <v>23</v>
      </c>
      <c r="B17" s="2"/>
      <c r="C17" s="3">
        <v>117281</v>
      </c>
      <c r="D17" s="4">
        <v>17879.373190620729</v>
      </c>
      <c r="E17" s="5"/>
      <c r="F17" s="5"/>
    </row>
    <row r="18" spans="1:6">
      <c r="A18" s="9"/>
      <c r="B18" s="9"/>
      <c r="C18" s="10"/>
      <c r="D18" s="10"/>
      <c r="E18" s="10"/>
      <c r="F18" s="10"/>
    </row>
    <row r="19" spans="1:6">
      <c r="A19" s="2" t="s">
        <v>24</v>
      </c>
      <c r="B19" s="2"/>
      <c r="C19" s="3">
        <v>677216</v>
      </c>
      <c r="D19" s="14">
        <v>103240.9136574501</v>
      </c>
      <c r="E19" s="3">
        <v>23587</v>
      </c>
      <c r="F19" s="4">
        <v>3595.8149695787988</v>
      </c>
    </row>
    <row r="21" spans="1:6">
      <c r="C21" t="s">
        <v>26</v>
      </c>
      <c r="D21" s="15">
        <f>D3</f>
        <v>68349.602184289513</v>
      </c>
    </row>
    <row r="23" spans="1:6">
      <c r="A23" s="17" t="s">
        <v>28</v>
      </c>
      <c r="C23" t="s">
        <v>38</v>
      </c>
      <c r="D23">
        <v>1.5629999999999999</v>
      </c>
    </row>
    <row r="24" spans="1:6">
      <c r="A24" s="18"/>
      <c r="C24" t="s">
        <v>39</v>
      </c>
      <c r="D24">
        <f>D19*D23</f>
        <v>161365.54804659451</v>
      </c>
    </row>
    <row r="25" spans="1:6">
      <c r="A25" s="18" t="s">
        <v>29</v>
      </c>
    </row>
    <row r="26" spans="1:6">
      <c r="A26" s="18" t="s">
        <v>30</v>
      </c>
      <c r="F26" t="s">
        <v>41</v>
      </c>
    </row>
    <row r="27" spans="1:6">
      <c r="A27" s="18" t="s">
        <v>31</v>
      </c>
      <c r="C27" t="s">
        <v>40</v>
      </c>
      <c r="D27" s="20">
        <v>635938</v>
      </c>
      <c r="F27" s="21">
        <f>H14</f>
        <v>0</v>
      </c>
    </row>
    <row r="28" spans="1:6">
      <c r="A28" s="19" t="s">
        <v>32</v>
      </c>
    </row>
    <row r="30" spans="1:6">
      <c r="A30" s="17" t="s">
        <v>33</v>
      </c>
    </row>
    <row r="31" spans="1:6">
      <c r="A31" s="18"/>
    </row>
    <row r="32" spans="1:6">
      <c r="A32" s="18" t="s">
        <v>34</v>
      </c>
    </row>
    <row r="33" spans="1:1">
      <c r="A33" s="18" t="s">
        <v>35</v>
      </c>
    </row>
    <row r="34" spans="1:1">
      <c r="A34" s="19" t="s">
        <v>36</v>
      </c>
    </row>
    <row r="36" spans="1:1">
      <c r="A36" s="17" t="s">
        <v>37</v>
      </c>
    </row>
  </sheetData>
  <pageMargins left="0.75" right="0.75" top="1" bottom="1" header="0.5" footer="0.5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Détail par année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2026-09-27T20:53:23Z</dcterms:created>
  <dcterms:modified xsi:type="dcterms:W3CDTF">2026-09-27T21:56:26Z</dcterms:modified>
</cp:coreProperties>
</file>