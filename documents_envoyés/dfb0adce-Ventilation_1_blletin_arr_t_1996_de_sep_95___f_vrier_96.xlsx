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80" windowWidth="18540" windowHeight="7020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D25" i="1"/>
  <c r="C27"/>
  <c r="E27"/>
  <c r="D27"/>
  <c r="E25"/>
  <c r="D23"/>
  <c r="C25"/>
  <c r="C23"/>
  <c r="D26"/>
  <c r="C26"/>
  <c r="E24"/>
  <c r="E22"/>
  <c r="D24"/>
  <c r="C17"/>
  <c r="E26" l="1"/>
</calcChain>
</file>

<file path=xl/sharedStrings.xml><?xml version="1.0" encoding="utf-8"?>
<sst xmlns="http://schemas.openxmlformats.org/spreadsheetml/2006/main" count="42" uniqueCount="34">
  <si>
    <t>Periode</t>
  </si>
  <si>
    <t>Mois concernes</t>
  </si>
  <si>
    <t>Montant en Francs (FRF)</t>
  </si>
  <si>
    <t>Septembre 1995 (demi-mois)</t>
  </si>
  <si>
    <t>Octobre, Novembre, Decembre 1995</t>
  </si>
  <si>
    <t>Janvier, Fevrier 1996</t>
  </si>
  <si>
    <t>SEPTEMBRE 95 à FEVRIER 96</t>
  </si>
  <si>
    <t>sep, oc, noc déc 95 + janv, février 96</t>
  </si>
  <si>
    <t>Oct, Nov, Dec 95 et Jan+fév96</t>
  </si>
  <si>
    <t>Salaire mensuel</t>
  </si>
  <si>
    <t>Nombre de mois</t>
  </si>
  <si>
    <t>58 967, 20 (64 864,00 - 5 896,80)</t>
  </si>
  <si>
    <t>3 Mois</t>
  </si>
  <si>
    <t xml:space="preserve">5 mois </t>
  </si>
  <si>
    <t>3 mois X 11 793,44</t>
  </si>
  <si>
    <t>Total année 1995</t>
  </si>
  <si>
    <t>41277,60 FRF (5896,80+35380,80)</t>
  </si>
  <si>
    <t>23587,2 FRF (11 793,44 x2)</t>
  </si>
  <si>
    <t>2 mois X 11 793,44</t>
  </si>
  <si>
    <t>Total année 1996</t>
  </si>
  <si>
    <t>sept à décem 1995</t>
  </si>
  <si>
    <t>VENTILATION SUR 1995 ET  1996 DU BULLETIN1 DE L’ARRET DE 1996</t>
  </si>
  <si>
    <t>VENTILATION DU BULLETIN2 DE L’ARRET DE 1996</t>
  </si>
  <si>
    <t>mars à juin 1996</t>
  </si>
  <si>
    <t>TOTAUX</t>
  </si>
  <si>
    <t>Bulletin 1</t>
  </si>
  <si>
    <t>Bulletin 2</t>
  </si>
  <si>
    <t>ARRET 1996</t>
  </si>
  <si>
    <t>1995 en Franc</t>
  </si>
  <si>
    <t>1995 en euro</t>
  </si>
  <si>
    <t>1996 en Franc</t>
  </si>
  <si>
    <t>1996 en euro</t>
  </si>
  <si>
    <t>Totaux en Franc</t>
  </si>
  <si>
    <t>Totaux en euro</t>
  </si>
</sst>
</file>

<file path=xl/styles.xml><?xml version="1.0" encoding="utf-8"?>
<styleSheet xmlns="http://schemas.openxmlformats.org/spreadsheetml/2006/main">
  <numFmts count="2">
    <numFmt numFmtId="164" formatCode="#,##0.00\ [$FRF]"/>
    <numFmt numFmtId="165" formatCode="#,##0.00\ &quot;€&quot;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7" fontId="1" fillId="0" borderId="1" xfId="0" applyNumberFormat="1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1" fontId="1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 applyAlignment="1">
      <alignment horizontal="left"/>
    </xf>
    <xf numFmtId="164" fontId="0" fillId="0" borderId="5" xfId="0" applyNumberFormat="1" applyBorder="1" applyAlignment="1">
      <alignment horizontal="left"/>
    </xf>
    <xf numFmtId="165" fontId="0" fillId="0" borderId="5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topLeftCell="A12" workbookViewId="0">
      <selection activeCell="C29" sqref="C29"/>
    </sheetView>
  </sheetViews>
  <sheetFormatPr baseColWidth="10" defaultRowHeight="14.5"/>
  <cols>
    <col min="1" max="1" width="25.6328125" bestFit="1" customWidth="1"/>
    <col min="2" max="2" width="31.7265625" bestFit="1" customWidth="1"/>
    <col min="3" max="3" width="28.81640625" bestFit="1" customWidth="1"/>
    <col min="4" max="4" width="21.26953125" customWidth="1"/>
    <col min="5" max="5" width="22.1796875" customWidth="1"/>
  </cols>
  <sheetData>
    <row r="1" spans="1:8" ht="15" thickBot="1"/>
    <row r="2" spans="1:8" ht="27" thickTop="1" thickBot="1">
      <c r="A2" s="8" t="s">
        <v>21</v>
      </c>
      <c r="B2" s="9"/>
      <c r="C2" s="9"/>
      <c r="D2" s="9"/>
      <c r="E2" s="10"/>
    </row>
    <row r="3" spans="1:8" ht="15.5" thickTop="1" thickBot="1"/>
    <row r="4" spans="1:8" ht="15.5" thickTop="1" thickBot="1">
      <c r="A4" s="1" t="s">
        <v>0</v>
      </c>
      <c r="B4" s="1" t="s">
        <v>1</v>
      </c>
      <c r="C4" s="1" t="s">
        <v>2</v>
      </c>
      <c r="D4" s="1" t="s">
        <v>10</v>
      </c>
      <c r="E4" s="1" t="s">
        <v>9</v>
      </c>
    </row>
    <row r="5" spans="1:8" ht="15.5" thickTop="1" thickBot="1">
      <c r="A5" s="1" t="s">
        <v>6</v>
      </c>
      <c r="B5" s="5" t="s">
        <v>7</v>
      </c>
      <c r="C5" s="3">
        <v>64864</v>
      </c>
      <c r="D5" s="7"/>
      <c r="E5" s="3"/>
    </row>
    <row r="6" spans="1:8" ht="38.5" customHeight="1" thickTop="1" thickBot="1">
      <c r="A6" s="4">
        <v>34943</v>
      </c>
      <c r="B6" s="2" t="s">
        <v>3</v>
      </c>
      <c r="C6" s="3">
        <v>5896.8</v>
      </c>
      <c r="D6" s="7"/>
      <c r="E6" s="3"/>
    </row>
    <row r="7" spans="1:8" ht="15.5" thickTop="1" thickBot="1">
      <c r="A7" s="2" t="s">
        <v>13</v>
      </c>
      <c r="B7" s="2" t="s">
        <v>8</v>
      </c>
      <c r="C7" s="3" t="s">
        <v>11</v>
      </c>
      <c r="D7" s="7">
        <v>5</v>
      </c>
      <c r="E7" s="3">
        <v>11793.44</v>
      </c>
    </row>
    <row r="8" spans="1:8" ht="16.5" thickTop="1" thickBot="1">
      <c r="A8" s="2" t="s">
        <v>12</v>
      </c>
      <c r="B8" s="2" t="s">
        <v>4</v>
      </c>
      <c r="C8" s="3">
        <v>35380.800000000003</v>
      </c>
      <c r="D8" s="7" t="s">
        <v>14</v>
      </c>
      <c r="E8" s="3"/>
      <c r="H8" s="6"/>
    </row>
    <row r="9" spans="1:8" ht="16.5" thickTop="1" thickBot="1">
      <c r="A9" s="2" t="s">
        <v>15</v>
      </c>
      <c r="B9" s="2" t="s">
        <v>20</v>
      </c>
      <c r="C9" s="3" t="s">
        <v>16</v>
      </c>
      <c r="D9" s="7"/>
      <c r="E9" s="3"/>
      <c r="H9" s="6"/>
    </row>
    <row r="10" spans="1:8" ht="15.5" thickTop="1" thickBot="1">
      <c r="A10" s="2" t="s">
        <v>19</v>
      </c>
      <c r="B10" s="2" t="s">
        <v>5</v>
      </c>
      <c r="C10" s="3" t="s">
        <v>17</v>
      </c>
      <c r="D10" s="7" t="s">
        <v>18</v>
      </c>
      <c r="E10" s="3"/>
    </row>
    <row r="11" spans="1:8" ht="19" customHeight="1" thickTop="1" thickBot="1"/>
    <row r="12" spans="1:8" ht="27" thickTop="1" thickBot="1">
      <c r="A12" s="8" t="s">
        <v>22</v>
      </c>
      <c r="B12" s="9"/>
      <c r="C12" s="9"/>
      <c r="D12" s="9"/>
      <c r="E12" s="10"/>
    </row>
    <row r="13" spans="1:8" ht="15.5" thickTop="1" thickBot="1"/>
    <row r="14" spans="1:8" ht="15.5" thickTop="1" thickBot="1">
      <c r="A14" s="1" t="s">
        <v>0</v>
      </c>
      <c r="B14" s="1" t="s">
        <v>1</v>
      </c>
      <c r="C14" s="1" t="s">
        <v>2</v>
      </c>
      <c r="D14" s="1" t="s">
        <v>10</v>
      </c>
      <c r="E14" s="1" t="s">
        <v>9</v>
      </c>
    </row>
    <row r="15" spans="1:8" ht="15.5" thickTop="1" thickBot="1">
      <c r="A15" s="1" t="s">
        <v>6</v>
      </c>
      <c r="B15" s="5" t="s">
        <v>23</v>
      </c>
      <c r="C15" s="3">
        <v>55827.8</v>
      </c>
      <c r="D15" s="7">
        <v>3</v>
      </c>
      <c r="E15" s="3"/>
    </row>
    <row r="16" spans="1:8" ht="15.5" thickTop="1" thickBot="1">
      <c r="A16" s="4">
        <v>34943</v>
      </c>
      <c r="B16" s="2"/>
      <c r="C16" s="3"/>
      <c r="D16" s="7"/>
      <c r="E16" s="3"/>
    </row>
    <row r="17" spans="1:5" ht="15.5" thickTop="1" thickBot="1">
      <c r="A17" s="1"/>
      <c r="B17" s="2" t="s">
        <v>19</v>
      </c>
      <c r="C17" s="3">
        <f>C15</f>
        <v>55827.8</v>
      </c>
      <c r="D17" s="7"/>
      <c r="E17" s="3"/>
    </row>
    <row r="18" spans="1:5" ht="15.5" thickTop="1" thickBot="1">
      <c r="A18" s="1"/>
      <c r="B18" s="2"/>
      <c r="C18" s="3"/>
      <c r="D18" s="7"/>
      <c r="E18" s="3"/>
    </row>
    <row r="19" spans="1:5" ht="15.5" thickTop="1" thickBot="1"/>
    <row r="20" spans="1:5" ht="15" thickBot="1">
      <c r="B20" s="11"/>
      <c r="C20" s="11" t="s">
        <v>27</v>
      </c>
      <c r="D20" s="11" t="s">
        <v>27</v>
      </c>
      <c r="E20" s="11"/>
    </row>
    <row r="21" spans="1:5" ht="15" thickBot="1">
      <c r="A21">
        <v>6.5595699999999999</v>
      </c>
      <c r="B21" s="11"/>
      <c r="C21" s="11" t="s">
        <v>25</v>
      </c>
      <c r="D21" s="11" t="s">
        <v>26</v>
      </c>
      <c r="E21" s="11" t="s">
        <v>24</v>
      </c>
    </row>
    <row r="22" spans="1:5" ht="15" thickBot="1">
      <c r="B22" s="11" t="s">
        <v>28</v>
      </c>
      <c r="C22" s="12">
        <v>41277.599999999999</v>
      </c>
      <c r="D22" s="12">
        <v>0</v>
      </c>
      <c r="E22" s="12">
        <f>C22+D22</f>
        <v>41277.599999999999</v>
      </c>
    </row>
    <row r="23" spans="1:5" ht="15" thickBot="1">
      <c r="B23" s="11" t="s">
        <v>29</v>
      </c>
      <c r="C23" s="13">
        <f>C22/A21</f>
        <v>6292.7295539189308</v>
      </c>
      <c r="D23" s="13">
        <f>D22/A21</f>
        <v>0</v>
      </c>
      <c r="E23" s="13">
        <v>0</v>
      </c>
    </row>
    <row r="24" spans="1:5" ht="15" thickBot="1">
      <c r="B24" s="11" t="s">
        <v>30</v>
      </c>
      <c r="C24" s="12">
        <v>23587.200000000001</v>
      </c>
      <c r="D24" s="12">
        <f>C17</f>
        <v>55827.8</v>
      </c>
      <c r="E24" s="12">
        <f>C24+D24</f>
        <v>79415</v>
      </c>
    </row>
    <row r="25" spans="1:5" ht="15" thickBot="1">
      <c r="B25" s="11" t="s">
        <v>31</v>
      </c>
      <c r="C25" s="13">
        <f>C24/A21</f>
        <v>3595.8454593822462</v>
      </c>
      <c r="D25" s="13">
        <f>D24/A21</f>
        <v>8510.8932445267001</v>
      </c>
      <c r="E25" s="13">
        <f>C25+D25</f>
        <v>12106.738703908946</v>
      </c>
    </row>
    <row r="26" spans="1:5" ht="15" thickBot="1">
      <c r="B26" s="11" t="s">
        <v>32</v>
      </c>
      <c r="C26" s="12">
        <f>C22+C24</f>
        <v>64864.800000000003</v>
      </c>
      <c r="D26" s="12">
        <f>D22+D24</f>
        <v>55827.8</v>
      </c>
      <c r="E26" s="12">
        <f>C26+D26</f>
        <v>120692.6</v>
      </c>
    </row>
    <row r="27" spans="1:5" ht="15" thickBot="1">
      <c r="B27" s="11" t="s">
        <v>33</v>
      </c>
      <c r="C27" s="13">
        <f>C23+C25</f>
        <v>9888.575013301177</v>
      </c>
      <c r="D27" s="13">
        <f>D23+D25</f>
        <v>8510.8932445267001</v>
      </c>
      <c r="E27" s="13">
        <f>C27+D27</f>
        <v>18399.468257827877</v>
      </c>
    </row>
  </sheetData>
  <mergeCells count="2">
    <mergeCell ref="A2:E2"/>
    <mergeCell ref="A12:E12"/>
  </mergeCells>
  <pageMargins left="0.7" right="0.7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2026-10-05T15:39:48Z</cp:lastPrinted>
  <dcterms:created xsi:type="dcterms:W3CDTF">2026-10-03T11:36:43Z</dcterms:created>
  <dcterms:modified xsi:type="dcterms:W3CDTF">2026-10-06T12:42:49Z</dcterms:modified>
</cp:coreProperties>
</file>