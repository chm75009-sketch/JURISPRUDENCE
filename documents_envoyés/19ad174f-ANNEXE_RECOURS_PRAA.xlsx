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19420" windowHeight="7500"/>
  </bookViews>
  <sheets>
    <sheet name="Feuil3" sheetId="3" r:id="rId1"/>
    <sheet name="Feuil2" sheetId="2" r:id="rId2"/>
    <sheet name="Feuil1" sheetId="1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G113" i="3"/>
  <c r="G112"/>
  <c r="F112"/>
  <c r="F113"/>
  <c r="H117"/>
  <c r="H116"/>
  <c r="H118" s="1"/>
  <c r="G89"/>
  <c r="B113" s="1"/>
  <c r="F89"/>
  <c r="B112" s="1"/>
  <c r="E89"/>
  <c r="H88"/>
  <c r="H87"/>
  <c r="H86"/>
  <c r="G83"/>
  <c r="C113" s="1"/>
  <c r="F83"/>
  <c r="C112" s="1"/>
  <c r="E83"/>
  <c r="C111" s="1"/>
  <c r="H82"/>
  <c r="H81"/>
  <c r="H80"/>
  <c r="H79"/>
  <c r="H78"/>
  <c r="H77"/>
  <c r="H76"/>
  <c r="H75"/>
  <c r="H74"/>
  <c r="H73"/>
  <c r="H72"/>
  <c r="H71"/>
  <c r="G68"/>
  <c r="D113" s="1"/>
  <c r="F68"/>
  <c r="D112" s="1"/>
  <c r="E68"/>
  <c r="D111" s="1"/>
  <c r="H67"/>
  <c r="H66"/>
  <c r="H65"/>
  <c r="H64"/>
  <c r="H63"/>
  <c r="H62"/>
  <c r="H61"/>
  <c r="H60"/>
  <c r="H59"/>
  <c r="H58"/>
  <c r="H57"/>
  <c r="H56"/>
  <c r="F42"/>
  <c r="E112" s="1"/>
  <c r="E42"/>
  <c r="E111" s="1"/>
  <c r="G41"/>
  <c r="G42" s="1"/>
  <c r="E113" s="1"/>
  <c r="H40"/>
  <c r="H39"/>
  <c r="H38"/>
  <c r="H37"/>
  <c r="H36"/>
  <c r="H35"/>
  <c r="H34"/>
  <c r="H33"/>
  <c r="H32"/>
  <c r="H31"/>
  <c r="H30"/>
  <c r="F27"/>
  <c r="E26"/>
  <c r="H26" s="1"/>
  <c r="E25"/>
  <c r="H25" s="1"/>
  <c r="G24"/>
  <c r="E24"/>
  <c r="G23"/>
  <c r="E23"/>
  <c r="H23" s="1"/>
  <c r="H22"/>
  <c r="E21"/>
  <c r="H21" s="1"/>
  <c r="G20"/>
  <c r="E20"/>
  <c r="E19"/>
  <c r="H19" s="1"/>
  <c r="G18"/>
  <c r="E18"/>
  <c r="E17"/>
  <c r="H17" s="1"/>
  <c r="G16"/>
  <c r="E16"/>
  <c r="H16" s="1"/>
  <c r="G15"/>
  <c r="E15"/>
  <c r="G12"/>
  <c r="F12"/>
  <c r="E10"/>
  <c r="H10" s="1"/>
  <c r="E9"/>
  <c r="H9" s="1"/>
  <c r="E8"/>
  <c r="H8" s="1"/>
  <c r="E7"/>
  <c r="H7" s="1"/>
  <c r="E6"/>
  <c r="H6" s="1"/>
  <c r="E5"/>
  <c r="E4"/>
  <c r="H4" s="1"/>
  <c r="H99" i="2"/>
  <c r="H101" s="1"/>
  <c r="G88"/>
  <c r="G96" s="1"/>
  <c r="F88"/>
  <c r="G95" s="1"/>
  <c r="E86"/>
  <c r="H86" s="1"/>
  <c r="E85"/>
  <c r="H85" s="1"/>
  <c r="E84"/>
  <c r="H84" s="1"/>
  <c r="E83"/>
  <c r="H83" s="1"/>
  <c r="E82"/>
  <c r="H82" s="1"/>
  <c r="E81"/>
  <c r="H81" s="1"/>
  <c r="E80"/>
  <c r="H80" s="1"/>
  <c r="F77"/>
  <c r="F95" s="1"/>
  <c r="E76"/>
  <c r="H76" s="1"/>
  <c r="E75"/>
  <c r="H75" s="1"/>
  <c r="G74"/>
  <c r="E74"/>
  <c r="G73"/>
  <c r="E73"/>
  <c r="H72"/>
  <c r="E71"/>
  <c r="H71" s="1"/>
  <c r="G70"/>
  <c r="E70"/>
  <c r="E69"/>
  <c r="H69" s="1"/>
  <c r="G68"/>
  <c r="E68"/>
  <c r="E67"/>
  <c r="H67" s="1"/>
  <c r="G66"/>
  <c r="E66"/>
  <c r="G65"/>
  <c r="E65"/>
  <c r="F62"/>
  <c r="E62"/>
  <c r="E94" s="1"/>
  <c r="G61"/>
  <c r="G62" s="1"/>
  <c r="E96" s="1"/>
  <c r="H60"/>
  <c r="H59"/>
  <c r="H58"/>
  <c r="H57"/>
  <c r="H56"/>
  <c r="H55"/>
  <c r="H54"/>
  <c r="H53"/>
  <c r="H52"/>
  <c r="H51"/>
  <c r="H50"/>
  <c r="G38"/>
  <c r="D96" s="1"/>
  <c r="F38"/>
  <c r="D95" s="1"/>
  <c r="E38"/>
  <c r="H37"/>
  <c r="H36"/>
  <c r="H35"/>
  <c r="H34"/>
  <c r="H33"/>
  <c r="H32"/>
  <c r="H31"/>
  <c r="H30"/>
  <c r="H29"/>
  <c r="H28"/>
  <c r="H27"/>
  <c r="H26"/>
  <c r="G23"/>
  <c r="C96" s="1"/>
  <c r="F23"/>
  <c r="C95" s="1"/>
  <c r="E23"/>
  <c r="H22"/>
  <c r="H21"/>
  <c r="H20"/>
  <c r="H19"/>
  <c r="H18"/>
  <c r="H17"/>
  <c r="H16"/>
  <c r="H15"/>
  <c r="H14"/>
  <c r="H13"/>
  <c r="H12"/>
  <c r="H11"/>
  <c r="G8"/>
  <c r="B96" s="1"/>
  <c r="F8"/>
  <c r="B95" s="1"/>
  <c r="E8"/>
  <c r="H7"/>
  <c r="H6"/>
  <c r="H5"/>
  <c r="G27" i="3" l="1"/>
  <c r="H20"/>
  <c r="E114"/>
  <c r="E115" s="1"/>
  <c r="E116" s="1"/>
  <c r="E117" s="1"/>
  <c r="C114"/>
  <c r="C115" s="1"/>
  <c r="C116" s="1"/>
  <c r="C118" s="1"/>
  <c r="H83"/>
  <c r="H112"/>
  <c r="H113"/>
  <c r="H68"/>
  <c r="D114"/>
  <c r="D115" s="1"/>
  <c r="D116" s="1"/>
  <c r="D117" s="1"/>
  <c r="H89"/>
  <c r="B114" s="1"/>
  <c r="B116" s="1"/>
  <c r="B118" s="1"/>
  <c r="E12"/>
  <c r="H24"/>
  <c r="H41"/>
  <c r="H15"/>
  <c r="H18"/>
  <c r="H5"/>
  <c r="E27"/>
  <c r="H42"/>
  <c r="H100" i="2"/>
  <c r="H62"/>
  <c r="H23"/>
  <c r="H65"/>
  <c r="H68"/>
  <c r="H61"/>
  <c r="H73"/>
  <c r="H38"/>
  <c r="H70"/>
  <c r="G77"/>
  <c r="F96" s="1"/>
  <c r="H96" s="1"/>
  <c r="E77"/>
  <c r="F94" s="1"/>
  <c r="H74"/>
  <c r="H8"/>
  <c r="H66"/>
  <c r="D94"/>
  <c r="D97" s="1"/>
  <c r="D98" s="1"/>
  <c r="D99" s="1"/>
  <c r="E95"/>
  <c r="E97" s="1"/>
  <c r="E98" s="1"/>
  <c r="E99" s="1"/>
  <c r="C94"/>
  <c r="C97" s="1"/>
  <c r="C98" s="1"/>
  <c r="C99" s="1"/>
  <c r="E88"/>
  <c r="B94"/>
  <c r="H12" i="3" l="1"/>
  <c r="G111"/>
  <c r="G114" s="1"/>
  <c r="G115" s="1"/>
  <c r="G116" s="1"/>
  <c r="G118" s="1"/>
  <c r="H27"/>
  <c r="F111"/>
  <c r="E118"/>
  <c r="C117"/>
  <c r="D118"/>
  <c r="B117"/>
  <c r="F97" i="2"/>
  <c r="F98" s="1"/>
  <c r="F99" s="1"/>
  <c r="F100" s="1"/>
  <c r="H95"/>
  <c r="H77"/>
  <c r="E100"/>
  <c r="E101"/>
  <c r="H88"/>
  <c r="G94"/>
  <c r="G97" s="1"/>
  <c r="G98" s="1"/>
  <c r="G99" s="1"/>
  <c r="C101"/>
  <c r="C100"/>
  <c r="B97"/>
  <c r="D101"/>
  <c r="D100"/>
  <c r="G117" i="3" l="1"/>
  <c r="F114"/>
  <c r="F115" s="1"/>
  <c r="F116" s="1"/>
  <c r="H111"/>
  <c r="H114" s="1"/>
  <c r="H94" i="2"/>
  <c r="H97" s="1"/>
  <c r="F101"/>
  <c r="B98"/>
  <c r="B99" s="1"/>
  <c r="G101"/>
  <c r="G100"/>
  <c r="F117" i="3" l="1"/>
  <c r="F118"/>
  <c r="B101" i="2"/>
  <c r="B100"/>
</calcChain>
</file>

<file path=xl/sharedStrings.xml><?xml version="1.0" encoding="utf-8"?>
<sst xmlns="http://schemas.openxmlformats.org/spreadsheetml/2006/main" count="449" uniqueCount="68">
  <si>
    <t>ANNEE</t>
  </si>
  <si>
    <t>MOIS</t>
  </si>
  <si>
    <t>EMPLOYEUR</t>
  </si>
  <si>
    <t>MONNAIE</t>
  </si>
  <si>
    <t>SALIRE BRUT HORS CONGES EN FRANCS</t>
  </si>
  <si>
    <t>ORRECTIONS COPIES</t>
  </si>
  <si>
    <t>OCTOBRE</t>
  </si>
  <si>
    <t>GERME</t>
  </si>
  <si>
    <t>FRANC</t>
  </si>
  <si>
    <t>NOVEMBRE</t>
  </si>
  <si>
    <t>DÉCEMBRE</t>
  </si>
  <si>
    <t>TOTAUX 90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</si>
  <si>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</si>
  <si>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</si>
  <si>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</si>
  <si>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</si>
  <si>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</si>
  <si>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</si>
  <si>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</si>
  <si>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</si>
  <si>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</si>
  <si>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TOTAUX 91</t>
  </si>
  <si>
    <t>TOTAUX 92</t>
  </si>
  <si>
    <t>TOTAUX 93</t>
  </si>
  <si>
    <t>TOTAUX 94</t>
  </si>
  <si>
    <t>TOTAUX 95</t>
  </si>
  <si>
    <t>Total</t>
  </si>
  <si>
    <t>BRUT hors congés</t>
  </si>
  <si>
    <t>Correction copies</t>
  </si>
  <si>
    <t>TOTAUX 90/95</t>
  </si>
  <si>
    <t>PRAA 30/70</t>
  </si>
  <si>
    <t>Congés payés</t>
  </si>
  <si>
    <t>jours mobiles</t>
  </si>
  <si>
    <t>CORRECTIONS COPIES</t>
  </si>
  <si>
    <t>Bilan pédagogique /Autres activités</t>
  </si>
  <si>
    <t>Bilan pédagogique /Autres activités/Autres heures/Heures autres</t>
  </si>
  <si>
    <t>Autres</t>
  </si>
  <si>
    <t>Base de calcul PRAA</t>
  </si>
  <si>
    <t>Légende :</t>
  </si>
  <si>
    <t>1364,76=13647,76X10%</t>
  </si>
  <si>
    <t>13647,64=31844,49X30/70</t>
  </si>
  <si>
    <t>272,95=13647,64X2%</t>
  </si>
  <si>
    <t>TOTAL</t>
  </si>
  <si>
    <t xml:space="preserve">SOCIETE GERME :  SALAIRE  D'OCTOBRE  1990 A JUILLET 1995 </t>
  </si>
  <si>
    <t>ANNEE 1990</t>
  </si>
  <si>
    <t>ANNEE 1991</t>
  </si>
  <si>
    <t>ANNEE 1992</t>
  </si>
  <si>
    <t>ANNEE 1993</t>
  </si>
  <si>
    <t>ANNEE 1994</t>
  </si>
  <si>
    <t>ANNEE 1995</t>
  </si>
  <si>
    <t>VENTILATIONS DU PRAA PAR ANNEE</t>
  </si>
  <si>
    <t xml:space="preserve">SOCIETE GERME : SALAIRES 1993 </t>
  </si>
  <si>
    <t>SOCIETE GERME : SALAIRES 1992</t>
  </si>
  <si>
    <t>SOCIETE GERME : SALAIRES 1991</t>
  </si>
  <si>
    <t>SOCIETE GERME : SALAIRES 1990</t>
  </si>
  <si>
    <t>SOCIETE GERME : SALAIRES 1994</t>
  </si>
  <si>
    <t>SOCIETE GERME : SALAIRES 1995</t>
  </si>
  <si>
    <t xml:space="preserve">ANNEES </t>
  </si>
  <si>
    <t>VENTILATIONS PAR ANNEE DU PRAA DES LIGNES 13, 14 ET 16 DU BULLETIN DE SALAIRE MATERIALISANT L'ARRET DU 26 JUIN 1997</t>
  </si>
  <si>
    <t>RAPPEL PRAA</t>
  </si>
  <si>
    <t>Ligne 14</t>
  </si>
  <si>
    <t>Congés payés PRAA</t>
  </si>
  <si>
    <t>Ligne 16</t>
  </si>
  <si>
    <t>Ligne 13</t>
  </si>
  <si>
    <t>Jours mobiles</t>
  </si>
  <si>
    <t>13705,64=31979,16X30/70</t>
  </si>
  <si>
    <t>1370,54=13705,35X10%</t>
  </si>
  <si>
    <t>274,11=13705,35X2%</t>
  </si>
</sst>
</file>

<file path=xl/styles.xml><?xml version="1.0" encoding="utf-8"?>
<styleSheet xmlns="http://schemas.openxmlformats.org/spreadsheetml/2006/main">
  <numFmts count="1">
    <numFmt numFmtId="164" formatCode="#,##0.00\ &quot;€&quot;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1" fontId="3" fillId="0" borderId="1" xfId="0" applyNumberFormat="1" applyFont="1" applyBorder="1"/>
    <xf numFmtId="2" fontId="3" fillId="0" borderId="1" xfId="0" applyNumberFormat="1" applyFont="1" applyBorder="1" applyAlignment="1">
      <alignment wrapText="1"/>
    </xf>
    <xf numFmtId="2" fontId="0" fillId="0" borderId="0" xfId="0" applyNumberFormat="1" applyBorder="1" applyAlignment="1">
      <alignment wrapText="1"/>
    </xf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3" fillId="0" borderId="2" xfId="0" applyFont="1" applyBorder="1"/>
    <xf numFmtId="0" fontId="5" fillId="0" borderId="2" xfId="0" applyFont="1" applyBorder="1"/>
    <xf numFmtId="2" fontId="3" fillId="0" borderId="2" xfId="0" applyNumberFormat="1" applyFont="1" applyBorder="1"/>
    <xf numFmtId="2" fontId="1" fillId="0" borderId="0" xfId="0" applyNumberFormat="1" applyFont="1"/>
    <xf numFmtId="2" fontId="3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/>
    <xf numFmtId="0" fontId="6" fillId="0" borderId="2" xfId="0" applyFont="1" applyBorder="1"/>
    <xf numFmtId="0" fontId="8" fillId="0" borderId="0" xfId="0" applyFont="1"/>
    <xf numFmtId="0" fontId="6" fillId="0" borderId="0" xfId="0" applyFont="1"/>
    <xf numFmtId="2" fontId="6" fillId="0" borderId="0" xfId="0" applyNumberFormat="1" applyFont="1"/>
    <xf numFmtId="2" fontId="3" fillId="2" borderId="1" xfId="0" applyNumberFormat="1" applyFont="1" applyFill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2" fontId="6" fillId="2" borderId="2" xfId="0" applyNumberFormat="1" applyFont="1" applyFill="1" applyBorder="1"/>
    <xf numFmtId="0" fontId="3" fillId="0" borderId="0" xfId="0" applyFont="1" applyBorder="1" applyAlignment="1">
      <alignment wrapText="1"/>
    </xf>
    <xf numFmtId="2" fontId="5" fillId="2" borderId="2" xfId="0" applyNumberFormat="1" applyFont="1" applyFill="1" applyBorder="1"/>
    <xf numFmtId="2" fontId="3" fillId="2" borderId="2" xfId="0" applyNumberFormat="1" applyFont="1" applyFill="1" applyBorder="1"/>
    <xf numFmtId="0" fontId="3" fillId="2" borderId="1" xfId="0" applyFont="1" applyFill="1" applyBorder="1"/>
    <xf numFmtId="0" fontId="0" fillId="0" borderId="1" xfId="0" applyBorder="1"/>
    <xf numFmtId="2" fontId="6" fillId="3" borderId="2" xfId="0" applyNumberFormat="1" applyFont="1" applyFill="1" applyBorder="1"/>
    <xf numFmtId="0" fontId="4" fillId="0" borderId="2" xfId="0" applyFont="1" applyBorder="1"/>
    <xf numFmtId="2" fontId="3" fillId="2" borderId="1" xfId="0" applyNumberFormat="1" applyFont="1" applyFill="1" applyBorder="1"/>
    <xf numFmtId="0" fontId="6" fillId="0" borderId="0" xfId="0" applyFont="1" applyFill="1" applyBorder="1"/>
    <xf numFmtId="2" fontId="3" fillId="0" borderId="0" xfId="0" applyNumberFormat="1" applyFont="1" applyBorder="1" applyAlignment="1">
      <alignment wrapText="1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5" fillId="0" borderId="0" xfId="0" applyFont="1"/>
    <xf numFmtId="2" fontId="5" fillId="3" borderId="2" xfId="0" applyNumberFormat="1" applyFont="1" applyFill="1" applyBorder="1"/>
    <xf numFmtId="2" fontId="5" fillId="0" borderId="0" xfId="0" applyNumberFormat="1" applyFont="1"/>
    <xf numFmtId="0" fontId="5" fillId="0" borderId="0" xfId="0" applyFont="1" applyFill="1" applyBorder="1"/>
    <xf numFmtId="0" fontId="8" fillId="0" borderId="2" xfId="0" applyFont="1" applyBorder="1"/>
    <xf numFmtId="0" fontId="5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2" fontId="5" fillId="0" borderId="6" xfId="0" applyNumberFormat="1" applyFont="1" applyBorder="1" applyAlignment="1">
      <alignment horizontal="center" wrapText="1"/>
    </xf>
    <xf numFmtId="2" fontId="5" fillId="0" borderId="7" xfId="0" applyNumberFormat="1" applyFont="1" applyBorder="1" applyAlignment="1">
      <alignment horizontal="center" wrapText="1"/>
    </xf>
    <xf numFmtId="2" fontId="5" fillId="0" borderId="8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AAA%20X240%20du%2011%20mars%202024/Documents/Documents/Mounir%20Retraite/ANNEXE%20RECOURS%20PRAA%20du%2015%20d&#233;cembre%20202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Feuil2"/>
      <sheetName val="Feuil3"/>
    </sheetNames>
    <sheetDataSet>
      <sheetData sheetId="0"/>
      <sheetData sheetId="1"/>
      <sheetData sheetId="2">
        <row r="78">
          <cell r="E78">
            <v>9620.99</v>
          </cell>
        </row>
        <row r="79">
          <cell r="E79">
            <v>10520.99</v>
          </cell>
        </row>
        <row r="80">
          <cell r="E80">
            <v>10160.99</v>
          </cell>
        </row>
        <row r="81">
          <cell r="E81">
            <v>10520.99</v>
          </cell>
        </row>
        <row r="82">
          <cell r="E82">
            <v>10520.99</v>
          </cell>
        </row>
        <row r="83">
          <cell r="E83">
            <v>5259.59</v>
          </cell>
        </row>
        <row r="84">
          <cell r="E84">
            <v>4755.59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topLeftCell="A112" zoomScale="160" zoomScaleNormal="160" workbookViewId="0">
      <selection activeCell="H118" sqref="H118"/>
    </sheetView>
  </sheetViews>
  <sheetFormatPr baseColWidth="10" defaultRowHeight="13"/>
  <cols>
    <col min="1" max="1" width="14" style="35" customWidth="1"/>
    <col min="2" max="2" width="15.08984375" style="35" customWidth="1"/>
    <col min="3" max="3" width="8.6328125" style="35" customWidth="1"/>
    <col min="4" max="4" width="8.36328125" style="35" bestFit="1" customWidth="1"/>
    <col min="5" max="5" width="9.6328125" style="35" bestFit="1" customWidth="1"/>
    <col min="6" max="6" width="10.54296875" style="35" customWidth="1"/>
    <col min="7" max="7" width="9" style="35" customWidth="1"/>
    <col min="8" max="8" width="8.81640625" style="35" customWidth="1"/>
    <col min="9" max="9" width="14.453125" style="35" bestFit="1" customWidth="1"/>
    <col min="10" max="16" width="10.90625" style="35"/>
    <col min="17" max="17" width="17.1796875" style="35" bestFit="1" customWidth="1"/>
    <col min="18" max="19" width="14.81640625" style="35" bestFit="1" customWidth="1"/>
    <col min="20" max="16384" width="10.90625" style="35"/>
  </cols>
  <sheetData>
    <row r="1" spans="1:8" ht="14" thickTop="1" thickBot="1">
      <c r="A1" s="49" t="s">
        <v>43</v>
      </c>
      <c r="B1" s="50"/>
      <c r="C1" s="50"/>
      <c r="D1" s="50"/>
      <c r="E1" s="50"/>
      <c r="F1" s="50"/>
      <c r="G1" s="50"/>
      <c r="H1" s="51"/>
    </row>
    <row r="2" spans="1:8" ht="14" thickTop="1" thickBot="1"/>
    <row r="3" spans="1:8" ht="19" customHeight="1" thickBot="1">
      <c r="A3" s="38" t="s">
        <v>49</v>
      </c>
      <c r="B3" s="46" t="s">
        <v>56</v>
      </c>
      <c r="C3" s="47"/>
      <c r="D3" s="47"/>
      <c r="E3" s="47"/>
      <c r="F3" s="47"/>
      <c r="G3" s="47"/>
      <c r="H3" s="48"/>
    </row>
    <row r="4" spans="1:8" ht="13.5" thickBot="1">
      <c r="A4" s="2">
        <v>1995</v>
      </c>
      <c r="B4" s="2" t="s">
        <v>12</v>
      </c>
      <c r="C4" s="2" t="s">
        <v>7</v>
      </c>
      <c r="D4" s="2" t="s">
        <v>8</v>
      </c>
      <c r="E4" s="2">
        <f>[1]Feuil3!$E$78</f>
        <v>9620.99</v>
      </c>
      <c r="F4" s="7"/>
      <c r="G4" s="7">
        <v>1260</v>
      </c>
      <c r="H4" s="7">
        <f>SUM(E4:G4)</f>
        <v>10880.99</v>
      </c>
    </row>
    <row r="5" spans="1:8" ht="13.5" thickBot="1">
      <c r="A5" s="2">
        <v>1995</v>
      </c>
      <c r="B5" s="2" t="s">
        <v>13</v>
      </c>
      <c r="C5" s="2" t="s">
        <v>7</v>
      </c>
      <c r="D5" s="2" t="s">
        <v>8</v>
      </c>
      <c r="E5" s="2">
        <f>[1]Feuil3!$E$79</f>
        <v>10520.99</v>
      </c>
      <c r="F5" s="7"/>
      <c r="G5" s="7"/>
      <c r="H5" s="7">
        <f t="shared" ref="H5:H12" si="0">SUM(E5:G5)</f>
        <v>10520.99</v>
      </c>
    </row>
    <row r="6" spans="1:8" ht="13.5" thickBot="1">
      <c r="A6" s="2">
        <v>1995</v>
      </c>
      <c r="B6" s="2" t="s">
        <v>14</v>
      </c>
      <c r="C6" s="2" t="s">
        <v>7</v>
      </c>
      <c r="D6" s="2" t="s">
        <v>8</v>
      </c>
      <c r="E6" s="2">
        <f>[1]Feuil3!$E$80</f>
        <v>10160.99</v>
      </c>
      <c r="F6" s="7"/>
      <c r="G6" s="7"/>
      <c r="H6" s="7">
        <f t="shared" si="0"/>
        <v>10160.99</v>
      </c>
    </row>
    <row r="7" spans="1:8" ht="13.5" thickBot="1">
      <c r="A7" s="2">
        <v>1995</v>
      </c>
      <c r="B7" s="2" t="s">
        <v>15</v>
      </c>
      <c r="C7" s="2" t="s">
        <v>7</v>
      </c>
      <c r="D7" s="2" t="s">
        <v>8</v>
      </c>
      <c r="E7" s="2">
        <f>[1]Feuil3!$E$81</f>
        <v>10520.99</v>
      </c>
      <c r="F7" s="7">
        <v>20</v>
      </c>
      <c r="G7" s="3"/>
      <c r="H7" s="7">
        <f t="shared" si="0"/>
        <v>10540.99</v>
      </c>
    </row>
    <row r="8" spans="1:8" ht="13.5" thickBot="1">
      <c r="A8" s="2">
        <v>1995</v>
      </c>
      <c r="B8" s="2" t="s">
        <v>16</v>
      </c>
      <c r="C8" s="2" t="s">
        <v>7</v>
      </c>
      <c r="D8" s="2" t="s">
        <v>8</v>
      </c>
      <c r="E8" s="2">
        <f>[1]Feuil3!$E$82</f>
        <v>10520.99</v>
      </c>
      <c r="F8" s="7">
        <v>130</v>
      </c>
      <c r="G8" s="3"/>
      <c r="H8" s="7">
        <f t="shared" si="0"/>
        <v>10650.99</v>
      </c>
    </row>
    <row r="9" spans="1:8" ht="13.5" thickBot="1">
      <c r="A9" s="2">
        <v>1995</v>
      </c>
      <c r="B9" s="2" t="s">
        <v>17</v>
      </c>
      <c r="C9" s="2" t="s">
        <v>7</v>
      </c>
      <c r="D9" s="2" t="s">
        <v>8</v>
      </c>
      <c r="E9" s="2">
        <f>[1]Feuil3!$E$83</f>
        <v>5259.59</v>
      </c>
      <c r="F9" s="7"/>
      <c r="G9" s="3"/>
      <c r="H9" s="7">
        <f t="shared" si="0"/>
        <v>5259.59</v>
      </c>
    </row>
    <row r="10" spans="1:8" ht="13.5" thickBot="1">
      <c r="A10" s="2">
        <v>1995</v>
      </c>
      <c r="B10" s="2" t="s">
        <v>18</v>
      </c>
      <c r="C10" s="2" t="s">
        <v>7</v>
      </c>
      <c r="D10" s="2" t="s">
        <v>8</v>
      </c>
      <c r="E10" s="2">
        <f>[1]Feuil3!$E$84</f>
        <v>4755.59</v>
      </c>
      <c r="F10" s="7"/>
      <c r="G10" s="3"/>
      <c r="H10" s="7">
        <f t="shared" si="0"/>
        <v>4755.59</v>
      </c>
    </row>
    <row r="11" spans="1:8" ht="13.5" thickBot="1">
      <c r="A11" s="2"/>
      <c r="B11" s="2"/>
      <c r="C11" s="2"/>
      <c r="D11" s="6"/>
      <c r="H11" s="7"/>
    </row>
    <row r="12" spans="1:8" ht="14" thickTop="1" thickBot="1">
      <c r="A12" s="2" t="s">
        <v>25</v>
      </c>
      <c r="B12" s="2"/>
      <c r="C12" s="2"/>
      <c r="D12" s="2" t="s">
        <v>8</v>
      </c>
      <c r="E12" s="28">
        <f>SUM(E4:E11)</f>
        <v>61360.12999999999</v>
      </c>
      <c r="F12" s="28">
        <f>SUM(F7:F11)</f>
        <v>150</v>
      </c>
      <c r="G12" s="28">
        <f>SUM(G4:G11)</f>
        <v>1260</v>
      </c>
      <c r="H12" s="7">
        <f t="shared" si="0"/>
        <v>62770.12999999999</v>
      </c>
    </row>
    <row r="13" spans="1:8" ht="13.5" thickBot="1"/>
    <row r="14" spans="1:8" ht="19" customHeight="1" thickBot="1">
      <c r="A14" s="38" t="s">
        <v>48</v>
      </c>
      <c r="B14" s="46" t="s">
        <v>55</v>
      </c>
      <c r="C14" s="47"/>
      <c r="D14" s="47"/>
      <c r="E14" s="47"/>
      <c r="F14" s="47"/>
      <c r="G14" s="47"/>
      <c r="H14" s="48"/>
    </row>
    <row r="15" spans="1:8" ht="13.5" thickBot="1">
      <c r="A15" s="2">
        <v>1994</v>
      </c>
      <c r="B15" s="2" t="s">
        <v>12</v>
      </c>
      <c r="C15" s="2" t="s">
        <v>7</v>
      </c>
      <c r="D15" s="2" t="s">
        <v>8</v>
      </c>
      <c r="E15" s="2">
        <f>(6048+2591.99)</f>
        <v>8639.99</v>
      </c>
      <c r="F15" s="7"/>
      <c r="G15" s="7">
        <f>3060+1350</f>
        <v>4410</v>
      </c>
      <c r="H15" s="7">
        <f>SUM(E15:G15)</f>
        <v>13049.99</v>
      </c>
    </row>
    <row r="16" spans="1:8" ht="13.5" thickBot="1">
      <c r="A16" s="2">
        <v>1994</v>
      </c>
      <c r="B16" s="2" t="s">
        <v>13</v>
      </c>
      <c r="C16" s="2" t="s">
        <v>7</v>
      </c>
      <c r="D16" s="2" t="s">
        <v>8</v>
      </c>
      <c r="E16" s="2">
        <f>(5355+2294.99)</f>
        <v>7649.99</v>
      </c>
      <c r="F16" s="7"/>
      <c r="G16" s="7">
        <f>90+2700+509.4</f>
        <v>3299.4</v>
      </c>
      <c r="H16" s="7">
        <f t="shared" ref="H16:H26" si="1">SUM(E16:G16)</f>
        <v>10949.39</v>
      </c>
    </row>
    <row r="17" spans="1:8" ht="13.5" thickBot="1">
      <c r="A17" s="2">
        <v>1994</v>
      </c>
      <c r="B17" s="2" t="s">
        <v>14</v>
      </c>
      <c r="C17" s="2" t="s">
        <v>7</v>
      </c>
      <c r="D17" s="2" t="s">
        <v>8</v>
      </c>
      <c r="E17" s="2">
        <f>6111+2618.99</f>
        <v>8729.99</v>
      </c>
      <c r="F17" s="7">
        <v>280</v>
      </c>
      <c r="G17" s="7">
        <v>120</v>
      </c>
      <c r="H17" s="7">
        <f t="shared" si="1"/>
        <v>9129.99</v>
      </c>
    </row>
    <row r="18" spans="1:8" ht="13.5" thickBot="1">
      <c r="A18" s="2">
        <v>1994</v>
      </c>
      <c r="B18" s="2" t="s">
        <v>15</v>
      </c>
      <c r="C18" s="2" t="s">
        <v>7</v>
      </c>
      <c r="D18" s="2" t="s">
        <v>8</v>
      </c>
      <c r="E18" s="2">
        <f>(5544+2375.99)</f>
        <v>7919.99</v>
      </c>
      <c r="F18" s="7">
        <v>90</v>
      </c>
      <c r="G18" s="3">
        <f>30+1800</f>
        <v>1830</v>
      </c>
      <c r="H18" s="7">
        <f t="shared" si="1"/>
        <v>9839.99</v>
      </c>
    </row>
    <row r="19" spans="1:8" ht="13.5" thickBot="1">
      <c r="A19" s="2">
        <v>1994</v>
      </c>
      <c r="B19" s="2" t="s">
        <v>16</v>
      </c>
      <c r="C19" s="2" t="s">
        <v>7</v>
      </c>
      <c r="D19" s="2" t="s">
        <v>8</v>
      </c>
      <c r="E19" s="2">
        <f>(7056+3023.99)</f>
        <v>10079.99</v>
      </c>
      <c r="F19" s="7">
        <v>130</v>
      </c>
      <c r="G19" s="3">
        <v>0</v>
      </c>
      <c r="H19" s="7">
        <f t="shared" si="1"/>
        <v>10209.99</v>
      </c>
    </row>
    <row r="20" spans="1:8" ht="13.5" thickBot="1">
      <c r="A20" s="2">
        <v>1994</v>
      </c>
      <c r="B20" s="2" t="s">
        <v>17</v>
      </c>
      <c r="C20" s="2" t="s">
        <v>7</v>
      </c>
      <c r="D20" s="2" t="s">
        <v>8</v>
      </c>
      <c r="E20" s="2">
        <f>(3780+1619.99)</f>
        <v>5399.99</v>
      </c>
      <c r="F20" s="7"/>
      <c r="G20" s="3">
        <f>2565</f>
        <v>2565</v>
      </c>
      <c r="H20" s="7">
        <f t="shared" si="1"/>
        <v>7964.99</v>
      </c>
    </row>
    <row r="21" spans="1:8" ht="13.5" thickBot="1">
      <c r="A21" s="2">
        <v>1994</v>
      </c>
      <c r="B21" s="2" t="s">
        <v>18</v>
      </c>
      <c r="C21" s="2" t="s">
        <v>7</v>
      </c>
      <c r="D21" s="2" t="s">
        <v>8</v>
      </c>
      <c r="E21" s="2">
        <f>(2268+972)</f>
        <v>3240</v>
      </c>
      <c r="F21" s="7"/>
      <c r="G21" s="3">
        <v>2728.8</v>
      </c>
      <c r="H21" s="7">
        <f t="shared" si="1"/>
        <v>5968.8</v>
      </c>
    </row>
    <row r="22" spans="1:8" ht="13.5" thickBot="1">
      <c r="A22" s="2">
        <v>1994</v>
      </c>
      <c r="B22" s="2" t="s">
        <v>19</v>
      </c>
      <c r="C22" s="2" t="s">
        <v>7</v>
      </c>
      <c r="D22" s="2" t="s">
        <v>8</v>
      </c>
      <c r="E22" s="2">
        <v>0</v>
      </c>
      <c r="F22" s="7"/>
      <c r="G22" s="3"/>
      <c r="H22" s="7">
        <f t="shared" si="1"/>
        <v>0</v>
      </c>
    </row>
    <row r="23" spans="1:8" ht="13.5" thickBot="1">
      <c r="A23" s="2">
        <v>1994</v>
      </c>
      <c r="B23" s="2" t="s">
        <v>20</v>
      </c>
      <c r="C23" s="2" t="s">
        <v>7</v>
      </c>
      <c r="D23" s="2" t="s">
        <v>8</v>
      </c>
      <c r="E23" s="2">
        <f>(3402+1458)</f>
        <v>4860</v>
      </c>
      <c r="F23" s="7"/>
      <c r="G23" s="3">
        <f>1800+810</f>
        <v>2610</v>
      </c>
      <c r="H23" s="7">
        <f t="shared" si="1"/>
        <v>7470</v>
      </c>
    </row>
    <row r="24" spans="1:8" ht="13.5" thickBot="1">
      <c r="A24" s="2">
        <v>1994</v>
      </c>
      <c r="B24" s="2" t="s">
        <v>6</v>
      </c>
      <c r="C24" s="2" t="s">
        <v>7</v>
      </c>
      <c r="D24" s="2" t="s">
        <v>8</v>
      </c>
      <c r="E24" s="2">
        <f>(7938+3401.99)</f>
        <v>11339.99</v>
      </c>
      <c r="F24" s="7"/>
      <c r="G24" s="3">
        <f>2025</f>
        <v>2025</v>
      </c>
      <c r="H24" s="7">
        <f t="shared" si="1"/>
        <v>13364.99</v>
      </c>
    </row>
    <row r="25" spans="1:8" ht="13.5" thickBot="1">
      <c r="A25" s="2">
        <v>1994</v>
      </c>
      <c r="B25" s="2" t="s">
        <v>9</v>
      </c>
      <c r="C25" s="2" t="s">
        <v>7</v>
      </c>
      <c r="D25" s="2" t="s">
        <v>8</v>
      </c>
      <c r="E25" s="2">
        <f>(7364.7-1354.5+2575.79)</f>
        <v>8585.99</v>
      </c>
      <c r="F25" s="7"/>
      <c r="G25" s="3">
        <v>1800</v>
      </c>
      <c r="H25" s="7">
        <f t="shared" si="1"/>
        <v>10385.99</v>
      </c>
    </row>
    <row r="26" spans="1:8" ht="13.5" thickBot="1">
      <c r="A26" s="2">
        <v>1994</v>
      </c>
      <c r="B26" s="2" t="s">
        <v>10</v>
      </c>
      <c r="C26" s="2" t="s">
        <v>7</v>
      </c>
      <c r="D26" s="2" t="s">
        <v>8</v>
      </c>
      <c r="E26" s="2">
        <f>(7364.7+3156.29)</f>
        <v>10520.99</v>
      </c>
      <c r="F26" s="7"/>
      <c r="G26" s="3">
        <v>1800</v>
      </c>
      <c r="H26" s="7">
        <f t="shared" si="1"/>
        <v>12320.99</v>
      </c>
    </row>
    <row r="27" spans="1:8" ht="13.5" thickBot="1">
      <c r="A27" s="2" t="s">
        <v>24</v>
      </c>
      <c r="B27" s="2"/>
      <c r="C27" s="2"/>
      <c r="D27" s="2" t="s">
        <v>8</v>
      </c>
      <c r="E27" s="29">
        <f>SUM(E15:E26)</f>
        <v>86966.91</v>
      </c>
      <c r="F27" s="29">
        <f>SUM(F15:F26)</f>
        <v>500</v>
      </c>
      <c r="G27" s="33">
        <f>SUM(G15:G26)</f>
        <v>23188.2</v>
      </c>
      <c r="H27" s="7">
        <f>E27+F27+G27</f>
        <v>110655.11</v>
      </c>
    </row>
    <row r="28" spans="1:8" ht="13.5" thickBot="1"/>
    <row r="29" spans="1:8" ht="19" customHeight="1" thickBot="1">
      <c r="A29" s="38" t="s">
        <v>47</v>
      </c>
      <c r="B29" s="46" t="s">
        <v>51</v>
      </c>
      <c r="C29" s="47"/>
      <c r="D29" s="47"/>
      <c r="E29" s="47"/>
      <c r="F29" s="47"/>
      <c r="G29" s="47"/>
      <c r="H29" s="48"/>
    </row>
    <row r="30" spans="1:8" ht="13.5" thickBot="1">
      <c r="A30" s="2">
        <v>1993</v>
      </c>
      <c r="B30" s="2" t="s">
        <v>12</v>
      </c>
      <c r="C30" s="2" t="s">
        <v>7</v>
      </c>
      <c r="D30" s="2" t="s">
        <v>8</v>
      </c>
      <c r="E30" s="2">
        <v>9720</v>
      </c>
      <c r="F30" s="7">
        <v>430</v>
      </c>
      <c r="G30" s="7">
        <v>90</v>
      </c>
      <c r="H30" s="7">
        <f t="shared" ref="H30:H32" si="2">SUM(E30:G30)</f>
        <v>10240</v>
      </c>
    </row>
    <row r="31" spans="1:8" ht="13.5" thickBot="1">
      <c r="A31" s="2">
        <v>1993</v>
      </c>
      <c r="B31" s="2" t="s">
        <v>13</v>
      </c>
      <c r="C31" s="2" t="s">
        <v>7</v>
      </c>
      <c r="D31" s="2" t="s">
        <v>8</v>
      </c>
      <c r="E31" s="2">
        <v>7290</v>
      </c>
      <c r="F31" s="7">
        <v>360</v>
      </c>
      <c r="G31" s="7"/>
      <c r="H31" s="7">
        <f t="shared" si="2"/>
        <v>7650</v>
      </c>
    </row>
    <row r="32" spans="1:8" ht="13.5" thickBot="1">
      <c r="A32" s="2">
        <v>1993</v>
      </c>
      <c r="B32" s="2" t="s">
        <v>14</v>
      </c>
      <c r="C32" s="2" t="s">
        <v>7</v>
      </c>
      <c r="D32" s="2" t="s">
        <v>8</v>
      </c>
      <c r="E32" s="2">
        <v>11430</v>
      </c>
      <c r="F32" s="7">
        <v>190</v>
      </c>
      <c r="G32" s="3"/>
      <c r="H32" s="7">
        <f t="shared" si="2"/>
        <v>11620</v>
      </c>
    </row>
    <row r="33" spans="1:8" ht="13.5" thickBot="1">
      <c r="A33" s="2">
        <v>1993</v>
      </c>
      <c r="B33" s="2" t="s">
        <v>15</v>
      </c>
      <c r="C33" s="2" t="s">
        <v>7</v>
      </c>
      <c r="D33" s="2" t="s">
        <v>8</v>
      </c>
      <c r="E33" s="2">
        <v>9090</v>
      </c>
      <c r="F33" s="7">
        <v>280</v>
      </c>
      <c r="G33" s="3">
        <v>90</v>
      </c>
      <c r="H33" s="7">
        <f t="shared" ref="H33:H41" si="3">SUM(E33:G33)</f>
        <v>9460</v>
      </c>
    </row>
    <row r="34" spans="1:8" ht="13.5" thickBot="1">
      <c r="A34" s="2">
        <v>1993</v>
      </c>
      <c r="B34" s="2" t="s">
        <v>16</v>
      </c>
      <c r="C34" s="2" t="s">
        <v>7</v>
      </c>
      <c r="D34" s="2" t="s">
        <v>8</v>
      </c>
      <c r="E34" s="2">
        <v>7380</v>
      </c>
      <c r="F34" s="7">
        <v>600</v>
      </c>
      <c r="G34" s="3"/>
      <c r="H34" s="7">
        <f t="shared" si="3"/>
        <v>7980</v>
      </c>
    </row>
    <row r="35" spans="1:8" ht="13.5" thickBot="1">
      <c r="A35" s="2">
        <v>1993</v>
      </c>
      <c r="B35" s="2" t="s">
        <v>17</v>
      </c>
      <c r="C35" s="2" t="s">
        <v>7</v>
      </c>
      <c r="D35" s="2" t="s">
        <v>8</v>
      </c>
      <c r="E35" s="2">
        <v>5310</v>
      </c>
      <c r="F35" s="7"/>
      <c r="G35" s="3"/>
      <c r="H35" s="7">
        <f t="shared" si="3"/>
        <v>5310</v>
      </c>
    </row>
    <row r="36" spans="1:8" ht="13.5" thickBot="1">
      <c r="A36" s="2">
        <v>1993</v>
      </c>
      <c r="B36" s="2" t="s">
        <v>18</v>
      </c>
      <c r="C36" s="2" t="s">
        <v>7</v>
      </c>
      <c r="D36" s="2" t="s">
        <v>8</v>
      </c>
      <c r="E36" s="2">
        <v>6930</v>
      </c>
      <c r="F36" s="7">
        <v>120</v>
      </c>
      <c r="G36" s="3"/>
      <c r="H36" s="7">
        <f t="shared" si="3"/>
        <v>7050</v>
      </c>
    </row>
    <row r="37" spans="1:8" ht="13.5" thickBot="1">
      <c r="A37" s="2">
        <v>1993</v>
      </c>
      <c r="B37" s="2" t="s">
        <v>19</v>
      </c>
      <c r="C37" s="2" t="s">
        <v>7</v>
      </c>
      <c r="D37" s="2" t="s">
        <v>8</v>
      </c>
      <c r="E37" s="2">
        <v>0</v>
      </c>
      <c r="F37" s="7"/>
      <c r="G37" s="3"/>
      <c r="H37" s="7">
        <f t="shared" si="3"/>
        <v>0</v>
      </c>
    </row>
    <row r="38" spans="1:8" ht="13.5" thickBot="1">
      <c r="A38" s="2">
        <v>1993</v>
      </c>
      <c r="B38" s="2" t="s">
        <v>20</v>
      </c>
      <c r="C38" s="2" t="s">
        <v>7</v>
      </c>
      <c r="D38" s="2" t="s">
        <v>8</v>
      </c>
      <c r="E38" s="2">
        <v>3060</v>
      </c>
      <c r="F38" s="7">
        <v>140</v>
      </c>
      <c r="G38" s="3"/>
      <c r="H38" s="7">
        <f t="shared" si="3"/>
        <v>3200</v>
      </c>
    </row>
    <row r="39" spans="1:8" ht="13.5" thickBot="1">
      <c r="A39" s="2">
        <v>1993</v>
      </c>
      <c r="B39" s="2" t="s">
        <v>6</v>
      </c>
      <c r="C39" s="2" t="s">
        <v>7</v>
      </c>
      <c r="D39" s="2" t="s">
        <v>8</v>
      </c>
      <c r="E39" s="2">
        <v>7290</v>
      </c>
      <c r="F39" s="7">
        <v>160</v>
      </c>
      <c r="G39" s="3">
        <v>60</v>
      </c>
      <c r="H39" s="7">
        <f t="shared" si="3"/>
        <v>7510</v>
      </c>
    </row>
    <row r="40" spans="1:8" ht="13.5" thickBot="1">
      <c r="A40" s="2">
        <v>1993</v>
      </c>
      <c r="B40" s="2" t="s">
        <v>9</v>
      </c>
      <c r="C40" s="2" t="s">
        <v>7</v>
      </c>
      <c r="D40" s="2" t="s">
        <v>8</v>
      </c>
      <c r="E40" s="2">
        <v>8730</v>
      </c>
      <c r="F40" s="7"/>
      <c r="G40" s="3"/>
      <c r="H40" s="7">
        <f t="shared" si="3"/>
        <v>8730</v>
      </c>
    </row>
    <row r="41" spans="1:8" ht="13.5" thickBot="1">
      <c r="A41" s="2">
        <v>1993</v>
      </c>
      <c r="B41" s="2" t="s">
        <v>10</v>
      </c>
      <c r="C41" s="2" t="s">
        <v>7</v>
      </c>
      <c r="D41" s="2" t="s">
        <v>8</v>
      </c>
      <c r="E41" s="2">
        <v>7920</v>
      </c>
      <c r="F41" s="7"/>
      <c r="G41" s="3">
        <f>150+3420+180</f>
        <v>3750</v>
      </c>
      <c r="H41" s="7">
        <f t="shared" si="3"/>
        <v>11670</v>
      </c>
    </row>
    <row r="42" spans="1:8" ht="13.5" thickBot="1">
      <c r="A42" s="2" t="s">
        <v>23</v>
      </c>
      <c r="B42" s="2"/>
      <c r="C42" s="2"/>
      <c r="D42" s="2" t="s">
        <v>8</v>
      </c>
      <c r="E42" s="29">
        <f>SUM(E30:E41)</f>
        <v>84150</v>
      </c>
      <c r="F42" s="29">
        <f>SUM(F30:F41)</f>
        <v>2280</v>
      </c>
      <c r="G42" s="29">
        <f>SUM(G30:G41)</f>
        <v>3990</v>
      </c>
      <c r="H42" s="7">
        <f>E42+F42+G42</f>
        <v>90420</v>
      </c>
    </row>
    <row r="54" spans="1:8" ht="13.5" thickBot="1"/>
    <row r="55" spans="1:8" ht="19" customHeight="1" thickBot="1">
      <c r="A55" s="38" t="s">
        <v>46</v>
      </c>
      <c r="B55" s="46" t="s">
        <v>52</v>
      </c>
      <c r="C55" s="47"/>
      <c r="D55" s="47"/>
      <c r="E55" s="47"/>
      <c r="F55" s="47"/>
      <c r="G55" s="47"/>
      <c r="H55" s="48"/>
    </row>
    <row r="56" spans="1:8" ht="13.5" thickBot="1">
      <c r="A56" s="2">
        <v>1992</v>
      </c>
      <c r="B56" s="2" t="s">
        <v>12</v>
      </c>
      <c r="C56" s="2" t="s">
        <v>7</v>
      </c>
      <c r="D56" s="2" t="s">
        <v>8</v>
      </c>
      <c r="E56" s="2">
        <v>10440</v>
      </c>
      <c r="F56" s="7">
        <v>170</v>
      </c>
      <c r="G56" s="3"/>
      <c r="H56" s="7">
        <f>E56+F56+G56</f>
        <v>10610</v>
      </c>
    </row>
    <row r="57" spans="1:8" ht="13.5" thickBot="1">
      <c r="A57" s="2">
        <v>1992</v>
      </c>
      <c r="B57" s="2" t="s">
        <v>13</v>
      </c>
      <c r="C57" s="2" t="s">
        <v>7</v>
      </c>
      <c r="D57" s="2" t="s">
        <v>8</v>
      </c>
      <c r="E57" s="2">
        <v>8370</v>
      </c>
      <c r="F57" s="7">
        <v>110</v>
      </c>
      <c r="G57" s="7">
        <v>120</v>
      </c>
      <c r="H57" s="7">
        <f>E57+F57+G57</f>
        <v>8600</v>
      </c>
    </row>
    <row r="58" spans="1:8" ht="13.5" thickBot="1">
      <c r="A58" s="2">
        <v>1992</v>
      </c>
      <c r="B58" s="2" t="s">
        <v>14</v>
      </c>
      <c r="C58" s="2" t="s">
        <v>7</v>
      </c>
      <c r="D58" s="2" t="s">
        <v>8</v>
      </c>
      <c r="E58" s="2">
        <v>11430</v>
      </c>
      <c r="F58" s="7">
        <v>60</v>
      </c>
      <c r="G58" s="7"/>
      <c r="H58" s="7">
        <f t="shared" ref="H58:H59" si="4">E58+F58+G58</f>
        <v>11490</v>
      </c>
    </row>
    <row r="59" spans="1:8" ht="13.5" thickBot="1">
      <c r="A59" s="2">
        <v>1992</v>
      </c>
      <c r="B59" s="2" t="s">
        <v>15</v>
      </c>
      <c r="C59" s="2" t="s">
        <v>7</v>
      </c>
      <c r="D59" s="2" t="s">
        <v>8</v>
      </c>
      <c r="E59" s="2">
        <v>9990</v>
      </c>
      <c r="F59" s="7"/>
      <c r="G59" s="7"/>
      <c r="H59" s="7">
        <f t="shared" si="4"/>
        <v>9990</v>
      </c>
    </row>
    <row r="60" spans="1:8" ht="13.5" thickBot="1">
      <c r="A60" s="2">
        <v>1992</v>
      </c>
      <c r="B60" s="2" t="s">
        <v>16</v>
      </c>
      <c r="C60" s="2" t="s">
        <v>7</v>
      </c>
      <c r="D60" s="2" t="s">
        <v>8</v>
      </c>
      <c r="E60" s="2">
        <v>5850</v>
      </c>
      <c r="F60" s="7">
        <v>230</v>
      </c>
      <c r="G60" s="7">
        <v>90</v>
      </c>
      <c r="H60" s="7">
        <f>E60+F60+G60</f>
        <v>6170</v>
      </c>
    </row>
    <row r="61" spans="1:8" ht="13.5" thickBot="1">
      <c r="A61" s="2">
        <v>1992</v>
      </c>
      <c r="B61" s="2" t="s">
        <v>17</v>
      </c>
      <c r="C61" s="2" t="s">
        <v>7</v>
      </c>
      <c r="D61" s="2" t="s">
        <v>8</v>
      </c>
      <c r="E61" s="2">
        <v>6570</v>
      </c>
      <c r="F61" s="7">
        <v>110</v>
      </c>
      <c r="G61" s="7">
        <v>120</v>
      </c>
      <c r="H61" s="7">
        <f t="shared" ref="H61:H67" si="5">E61+F61+G61</f>
        <v>6800</v>
      </c>
    </row>
    <row r="62" spans="1:8" ht="13.5" thickBot="1">
      <c r="A62" s="2">
        <v>1992</v>
      </c>
      <c r="B62" s="2" t="s">
        <v>18</v>
      </c>
      <c r="C62" s="2" t="s">
        <v>7</v>
      </c>
      <c r="D62" s="2" t="s">
        <v>8</v>
      </c>
      <c r="E62" s="2">
        <v>4950</v>
      </c>
      <c r="F62" s="7"/>
      <c r="G62" s="7"/>
      <c r="H62" s="7">
        <f t="shared" si="5"/>
        <v>4950</v>
      </c>
    </row>
    <row r="63" spans="1:8" ht="13.5" thickBot="1">
      <c r="A63" s="2">
        <v>1992</v>
      </c>
      <c r="B63" s="2" t="s">
        <v>19</v>
      </c>
      <c r="C63" s="2" t="s">
        <v>7</v>
      </c>
      <c r="D63" s="2" t="s">
        <v>8</v>
      </c>
      <c r="E63" s="2">
        <v>0</v>
      </c>
      <c r="F63" s="7"/>
      <c r="G63" s="7"/>
      <c r="H63" s="7">
        <f t="shared" si="5"/>
        <v>0</v>
      </c>
    </row>
    <row r="64" spans="1:8" ht="13.5" thickBot="1">
      <c r="A64" s="2">
        <v>1992</v>
      </c>
      <c r="B64" s="2" t="s">
        <v>20</v>
      </c>
      <c r="C64" s="2" t="s">
        <v>7</v>
      </c>
      <c r="D64" s="2" t="s">
        <v>8</v>
      </c>
      <c r="E64" s="2">
        <v>4140</v>
      </c>
      <c r="F64" s="7"/>
      <c r="G64" s="7"/>
      <c r="H64" s="7">
        <f t="shared" si="5"/>
        <v>4140</v>
      </c>
    </row>
    <row r="65" spans="1:8" ht="13.5" thickBot="1">
      <c r="A65" s="2">
        <v>1992</v>
      </c>
      <c r="B65" s="2" t="s">
        <v>6</v>
      </c>
      <c r="C65" s="2" t="s">
        <v>7</v>
      </c>
      <c r="D65" s="2" t="s">
        <v>8</v>
      </c>
      <c r="E65" s="2">
        <v>9720</v>
      </c>
      <c r="F65" s="7"/>
      <c r="G65" s="7"/>
      <c r="H65" s="7">
        <f t="shared" si="5"/>
        <v>9720</v>
      </c>
    </row>
    <row r="66" spans="1:8" ht="13.5" thickBot="1">
      <c r="A66" s="2">
        <v>1992</v>
      </c>
      <c r="B66" s="2" t="s">
        <v>9</v>
      </c>
      <c r="C66" s="2" t="s">
        <v>7</v>
      </c>
      <c r="D66" s="2" t="s">
        <v>8</v>
      </c>
      <c r="E66" s="2">
        <v>10800</v>
      </c>
      <c r="F66" s="7">
        <v>50</v>
      </c>
      <c r="G66" s="7"/>
      <c r="H66" s="7">
        <f t="shared" si="5"/>
        <v>10850</v>
      </c>
    </row>
    <row r="67" spans="1:8" ht="13.5" thickBot="1">
      <c r="A67" s="2">
        <v>1992</v>
      </c>
      <c r="B67" s="2" t="s">
        <v>10</v>
      </c>
      <c r="C67" s="2" t="s">
        <v>7</v>
      </c>
      <c r="D67" s="2" t="s">
        <v>8</v>
      </c>
      <c r="E67" s="2">
        <v>11070</v>
      </c>
      <c r="F67" s="7"/>
      <c r="G67" s="7"/>
      <c r="H67" s="7">
        <f t="shared" si="5"/>
        <v>11070</v>
      </c>
    </row>
    <row r="68" spans="1:8" ht="13.5" thickBot="1">
      <c r="A68" s="2" t="s">
        <v>22</v>
      </c>
      <c r="B68" s="2"/>
      <c r="C68" s="2"/>
      <c r="D68" s="2" t="s">
        <v>8</v>
      </c>
      <c r="E68" s="23">
        <f>SUM(E56:E67)</f>
        <v>93330</v>
      </c>
      <c r="F68" s="23">
        <f>SUM(F56:F67)</f>
        <v>730</v>
      </c>
      <c r="G68" s="23">
        <f>SUM(G56:G67)</f>
        <v>330</v>
      </c>
      <c r="H68" s="7">
        <f>E68+F68+G68</f>
        <v>94390</v>
      </c>
    </row>
    <row r="69" spans="1:8" ht="13.5" thickBot="1"/>
    <row r="70" spans="1:8" ht="19" customHeight="1" thickBot="1">
      <c r="A70" s="38" t="s">
        <v>45</v>
      </c>
      <c r="B70" s="46" t="s">
        <v>53</v>
      </c>
      <c r="C70" s="47"/>
      <c r="D70" s="47"/>
      <c r="E70" s="47"/>
      <c r="F70" s="47"/>
      <c r="G70" s="47"/>
      <c r="H70" s="48"/>
    </row>
    <row r="71" spans="1:8" ht="13.5" thickBot="1">
      <c r="A71" s="2">
        <v>1991</v>
      </c>
      <c r="B71" s="2" t="s">
        <v>12</v>
      </c>
      <c r="C71" s="2" t="s">
        <v>7</v>
      </c>
      <c r="D71" s="2" t="s">
        <v>8</v>
      </c>
      <c r="E71" s="2">
        <v>10620</v>
      </c>
      <c r="F71" s="7"/>
      <c r="G71" s="7"/>
      <c r="H71" s="7">
        <f>SUM(E71:G71)</f>
        <v>10620</v>
      </c>
    </row>
    <row r="72" spans="1:8" ht="13.5" thickBot="1">
      <c r="A72" s="2">
        <v>1991</v>
      </c>
      <c r="B72" s="2" t="s">
        <v>13</v>
      </c>
      <c r="C72" s="2" t="s">
        <v>7</v>
      </c>
      <c r="D72" s="2" t="s">
        <v>8</v>
      </c>
      <c r="E72" s="2">
        <v>10620</v>
      </c>
      <c r="F72" s="7"/>
      <c r="G72" s="7">
        <v>120</v>
      </c>
      <c r="H72" s="7">
        <f t="shared" ref="H72:H82" si="6">SUM(E72:G72)</f>
        <v>10740</v>
      </c>
    </row>
    <row r="73" spans="1:8" ht="13.5" thickBot="1">
      <c r="A73" s="2">
        <v>1991</v>
      </c>
      <c r="B73" s="2" t="s">
        <v>14</v>
      </c>
      <c r="C73" s="2" t="s">
        <v>7</v>
      </c>
      <c r="D73" s="2" t="s">
        <v>8</v>
      </c>
      <c r="E73" s="2">
        <v>9990</v>
      </c>
      <c r="F73" s="7">
        <v>240</v>
      </c>
      <c r="G73" s="7">
        <v>150</v>
      </c>
      <c r="H73" s="7">
        <f t="shared" si="6"/>
        <v>10380</v>
      </c>
    </row>
    <row r="74" spans="1:8" ht="13.5" thickBot="1">
      <c r="A74" s="2">
        <v>1991</v>
      </c>
      <c r="B74" s="2" t="s">
        <v>15</v>
      </c>
      <c r="C74" s="2" t="s">
        <v>7</v>
      </c>
      <c r="D74" s="2" t="s">
        <v>8</v>
      </c>
      <c r="E74" s="2">
        <v>11250</v>
      </c>
      <c r="F74" s="7">
        <v>50</v>
      </c>
      <c r="G74" s="7"/>
      <c r="H74" s="7">
        <f t="shared" si="6"/>
        <v>11300</v>
      </c>
    </row>
    <row r="75" spans="1:8" ht="13.5" thickBot="1">
      <c r="A75" s="2">
        <v>1991</v>
      </c>
      <c r="B75" s="2" t="s">
        <v>16</v>
      </c>
      <c r="C75" s="2" t="s">
        <v>7</v>
      </c>
      <c r="D75" s="2" t="s">
        <v>8</v>
      </c>
      <c r="E75" s="2">
        <v>8910</v>
      </c>
      <c r="F75" s="7">
        <v>70</v>
      </c>
      <c r="G75" s="7">
        <v>400</v>
      </c>
      <c r="H75" s="7">
        <f t="shared" si="6"/>
        <v>9380</v>
      </c>
    </row>
    <row r="76" spans="1:8" ht="13.5" thickBot="1">
      <c r="A76" s="2">
        <v>1991</v>
      </c>
      <c r="B76" s="2" t="s">
        <v>17</v>
      </c>
      <c r="C76" s="2" t="s">
        <v>7</v>
      </c>
      <c r="D76" s="2" t="s">
        <v>8</v>
      </c>
      <c r="E76" s="2">
        <v>6030</v>
      </c>
      <c r="F76" s="7">
        <v>130</v>
      </c>
      <c r="G76" s="7">
        <v>120</v>
      </c>
      <c r="H76" s="7">
        <f t="shared" si="6"/>
        <v>6280</v>
      </c>
    </row>
    <row r="77" spans="1:8" ht="13.5" thickBot="1">
      <c r="A77" s="2">
        <v>1991</v>
      </c>
      <c r="B77" s="2" t="s">
        <v>18</v>
      </c>
      <c r="C77" s="2" t="s">
        <v>7</v>
      </c>
      <c r="D77" s="2" t="s">
        <v>8</v>
      </c>
      <c r="E77" s="2">
        <v>8280</v>
      </c>
      <c r="F77" s="7"/>
      <c r="G77" s="7"/>
      <c r="H77" s="7">
        <f t="shared" si="6"/>
        <v>8280</v>
      </c>
    </row>
    <row r="78" spans="1:8" ht="13.5" thickBot="1">
      <c r="A78" s="2">
        <v>1991</v>
      </c>
      <c r="B78" s="2" t="s">
        <v>19</v>
      </c>
      <c r="C78" s="2" t="s">
        <v>7</v>
      </c>
      <c r="D78" s="2" t="s">
        <v>8</v>
      </c>
      <c r="E78" s="2">
        <v>0</v>
      </c>
      <c r="F78" s="7"/>
      <c r="G78" s="7"/>
      <c r="H78" s="7">
        <f t="shared" si="6"/>
        <v>0</v>
      </c>
    </row>
    <row r="79" spans="1:8" ht="13.5" thickBot="1">
      <c r="A79" s="2">
        <v>1991</v>
      </c>
      <c r="B79" s="2" t="s">
        <v>20</v>
      </c>
      <c r="C79" s="2" t="s">
        <v>7</v>
      </c>
      <c r="D79" s="2" t="s">
        <v>8</v>
      </c>
      <c r="E79" s="2">
        <v>4770</v>
      </c>
      <c r="F79" s="7"/>
      <c r="G79" s="7"/>
      <c r="H79" s="7">
        <f t="shared" si="6"/>
        <v>4770</v>
      </c>
    </row>
    <row r="80" spans="1:8" ht="13.5" thickBot="1">
      <c r="A80" s="2">
        <v>1991</v>
      </c>
      <c r="B80" s="2" t="s">
        <v>6</v>
      </c>
      <c r="C80" s="2" t="s">
        <v>7</v>
      </c>
      <c r="D80" s="2" t="s">
        <v>8</v>
      </c>
      <c r="E80" s="2">
        <v>9270</v>
      </c>
      <c r="F80" s="7"/>
      <c r="G80" s="7">
        <v>120</v>
      </c>
      <c r="H80" s="7">
        <f t="shared" si="6"/>
        <v>9390</v>
      </c>
    </row>
    <row r="81" spans="1:8" ht="13.5" thickBot="1">
      <c r="A81" s="2">
        <v>1991</v>
      </c>
      <c r="B81" s="2" t="s">
        <v>9</v>
      </c>
      <c r="C81" s="2" t="s">
        <v>7</v>
      </c>
      <c r="D81" s="2" t="s">
        <v>8</v>
      </c>
      <c r="E81" s="2">
        <v>9090</v>
      </c>
      <c r="F81" s="7"/>
      <c r="G81" s="7"/>
      <c r="H81" s="7">
        <f t="shared" si="6"/>
        <v>9090</v>
      </c>
    </row>
    <row r="82" spans="1:8" ht="13.5" thickBot="1">
      <c r="A82" s="2">
        <v>1991</v>
      </c>
      <c r="B82" s="2" t="s">
        <v>10</v>
      </c>
      <c r="C82" s="2" t="s">
        <v>7</v>
      </c>
      <c r="D82" s="2" t="s">
        <v>8</v>
      </c>
      <c r="E82" s="2">
        <v>11430</v>
      </c>
      <c r="F82" s="7">
        <v>90</v>
      </c>
      <c r="G82" s="7">
        <v>90</v>
      </c>
      <c r="H82" s="7">
        <f t="shared" si="6"/>
        <v>11610</v>
      </c>
    </row>
    <row r="83" spans="1:8" ht="13.5" thickBot="1">
      <c r="A83" s="2" t="s">
        <v>21</v>
      </c>
      <c r="B83" s="2"/>
      <c r="C83" s="2"/>
      <c r="D83" s="2" t="s">
        <v>8</v>
      </c>
      <c r="E83" s="23">
        <f>SUM(E71:E82)</f>
        <v>100260</v>
      </c>
      <c r="F83" s="23">
        <f>SUM(F71:F82)</f>
        <v>580</v>
      </c>
      <c r="G83" s="23">
        <f>SUM(G71:G82)</f>
        <v>1000</v>
      </c>
      <c r="H83" s="7">
        <f>E83+F83+G83</f>
        <v>101840</v>
      </c>
    </row>
    <row r="84" spans="1:8" ht="13.5" thickBot="1"/>
    <row r="85" spans="1:8" ht="19" customHeight="1" thickBot="1">
      <c r="A85" s="38" t="s">
        <v>44</v>
      </c>
      <c r="B85" s="46" t="s">
        <v>54</v>
      </c>
      <c r="C85" s="47"/>
      <c r="D85" s="47"/>
      <c r="E85" s="47"/>
      <c r="F85" s="47"/>
      <c r="G85" s="47"/>
      <c r="H85" s="48"/>
    </row>
    <row r="86" spans="1:8" ht="13.5" thickBot="1">
      <c r="A86" s="2">
        <v>1990</v>
      </c>
      <c r="B86" s="2" t="s">
        <v>6</v>
      </c>
      <c r="C86" s="2" t="s">
        <v>7</v>
      </c>
      <c r="D86" s="2" t="s">
        <v>8</v>
      </c>
      <c r="E86" s="2">
        <v>10710</v>
      </c>
      <c r="F86" s="7"/>
      <c r="G86" s="7"/>
      <c r="H86" s="7">
        <f>E86+F86+G86</f>
        <v>10710</v>
      </c>
    </row>
    <row r="87" spans="1:8" ht="13.5" thickBot="1">
      <c r="A87" s="2">
        <v>1990</v>
      </c>
      <c r="B87" s="2" t="s">
        <v>9</v>
      </c>
      <c r="C87" s="2" t="s">
        <v>7</v>
      </c>
      <c r="D87" s="2" t="s">
        <v>8</v>
      </c>
      <c r="E87" s="2">
        <v>10620</v>
      </c>
      <c r="F87" s="7"/>
      <c r="G87" s="7"/>
      <c r="H87" s="7">
        <f t="shared" ref="H87:H88" si="7">E87+F87+G87</f>
        <v>10620</v>
      </c>
    </row>
    <row r="88" spans="1:8" ht="13.5" thickBot="1">
      <c r="A88" s="2">
        <v>1990</v>
      </c>
      <c r="B88" s="2" t="s">
        <v>10</v>
      </c>
      <c r="C88" s="2" t="s">
        <v>7</v>
      </c>
      <c r="D88" s="2" t="s">
        <v>8</v>
      </c>
      <c r="E88" s="2">
        <v>10440</v>
      </c>
      <c r="F88" s="7">
        <v>30</v>
      </c>
      <c r="G88" s="7">
        <v>120</v>
      </c>
      <c r="H88" s="7">
        <f t="shared" si="7"/>
        <v>10590</v>
      </c>
    </row>
    <row r="89" spans="1:8" ht="13.5" thickBot="1">
      <c r="A89" s="2" t="s">
        <v>11</v>
      </c>
      <c r="B89" s="2"/>
      <c r="C89" s="2"/>
      <c r="D89" s="2" t="s">
        <v>8</v>
      </c>
      <c r="E89" s="29">
        <f>SUM(E86:E88)</f>
        <v>31770</v>
      </c>
      <c r="F89" s="23">
        <f>SUM(F86:F88)</f>
        <v>30</v>
      </c>
      <c r="G89" s="23">
        <f>SUM(G86:G88)</f>
        <v>120</v>
      </c>
      <c r="H89" s="7">
        <f>SUM(E89:G89)</f>
        <v>31920</v>
      </c>
    </row>
    <row r="91" spans="1:8" ht="11.25" customHeight="1"/>
    <row r="97" spans="1:8" ht="29.25" customHeight="1"/>
    <row r="98" spans="1:8" ht="29.25" customHeight="1"/>
    <row r="99" spans="1:8" ht="29.25" customHeight="1"/>
    <row r="100" spans="1:8" ht="29.25" customHeight="1"/>
    <row r="101" spans="1:8" ht="29.25" customHeight="1"/>
    <row r="102" spans="1:8" ht="29.25" customHeight="1"/>
    <row r="103" spans="1:8" ht="13.5" thickBot="1"/>
    <row r="104" spans="1:8" ht="39" customHeight="1" thickTop="1" thickBot="1">
      <c r="A104" s="43" t="s">
        <v>58</v>
      </c>
      <c r="B104" s="44"/>
      <c r="C104" s="44"/>
      <c r="D104" s="44"/>
      <c r="E104" s="44"/>
      <c r="F104" s="44"/>
      <c r="G104" s="44"/>
      <c r="H104" s="45"/>
    </row>
    <row r="105" spans="1:8" ht="13.5" thickTop="1">
      <c r="A105" s="38"/>
      <c r="B105" s="38"/>
      <c r="C105" s="38"/>
      <c r="D105" s="38"/>
      <c r="E105" s="38"/>
      <c r="F105" s="38"/>
      <c r="G105" s="40"/>
      <c r="H105" s="38"/>
    </row>
    <row r="106" spans="1:8">
      <c r="A106" s="20" t="s">
        <v>63</v>
      </c>
      <c r="B106" s="20" t="s">
        <v>59</v>
      </c>
      <c r="C106" s="40">
        <v>210880.45</v>
      </c>
      <c r="D106" s="38"/>
      <c r="E106" s="38"/>
      <c r="F106" s="38"/>
      <c r="G106" s="40"/>
      <c r="H106" s="38"/>
    </row>
    <row r="107" spans="1:8">
      <c r="A107" s="38" t="s">
        <v>60</v>
      </c>
      <c r="B107" s="20" t="s">
        <v>61</v>
      </c>
      <c r="C107" s="40">
        <v>21088.04</v>
      </c>
      <c r="D107" s="38"/>
      <c r="E107" s="38"/>
      <c r="F107" s="38"/>
      <c r="G107" s="40"/>
      <c r="H107" s="38"/>
    </row>
    <row r="108" spans="1:8">
      <c r="A108" s="40" t="s">
        <v>62</v>
      </c>
      <c r="B108" s="40" t="s">
        <v>64</v>
      </c>
      <c r="C108" s="40">
        <v>4217.6000000000004</v>
      </c>
    </row>
    <row r="109" spans="1:8" ht="13.5" thickBot="1">
      <c r="A109" s="40"/>
      <c r="B109" s="40"/>
      <c r="C109" s="40"/>
    </row>
    <row r="110" spans="1:8" ht="14" thickTop="1" thickBot="1">
      <c r="A110" s="13" t="s">
        <v>57</v>
      </c>
      <c r="B110" s="13">
        <v>1990</v>
      </c>
      <c r="C110" s="13">
        <v>1991</v>
      </c>
      <c r="D110" s="13">
        <v>1992</v>
      </c>
      <c r="E110" s="13">
        <v>1993</v>
      </c>
      <c r="F110" s="13">
        <v>1994</v>
      </c>
      <c r="G110" s="13">
        <v>1995</v>
      </c>
      <c r="H110" s="7" t="s">
        <v>42</v>
      </c>
    </row>
    <row r="111" spans="1:8" ht="14" thickTop="1" thickBot="1">
      <c r="A111" s="12" t="s">
        <v>27</v>
      </c>
      <c r="B111" s="14"/>
      <c r="C111" s="14">
        <f>E83</f>
        <v>100260</v>
      </c>
      <c r="D111" s="14">
        <f>E68</f>
        <v>93330</v>
      </c>
      <c r="E111" s="14">
        <f>E42</f>
        <v>84150</v>
      </c>
      <c r="F111" s="14">
        <f>E27</f>
        <v>86966.91</v>
      </c>
      <c r="G111" s="14">
        <f>E12</f>
        <v>61360.12999999999</v>
      </c>
      <c r="H111" s="7">
        <f>SUM(B111:G111)</f>
        <v>426067.04000000004</v>
      </c>
    </row>
    <row r="112" spans="1:8" ht="14" thickTop="1" thickBot="1">
      <c r="A112" s="12" t="s">
        <v>28</v>
      </c>
      <c r="B112" s="14">
        <f>F89</f>
        <v>30</v>
      </c>
      <c r="C112" s="14">
        <f>F83</f>
        <v>580</v>
      </c>
      <c r="D112" s="14">
        <f>F68</f>
        <v>730</v>
      </c>
      <c r="E112" s="14">
        <f>F42</f>
        <v>2280</v>
      </c>
      <c r="F112" s="14">
        <f>F27</f>
        <v>500</v>
      </c>
      <c r="G112" s="14">
        <f>F12</f>
        <v>150</v>
      </c>
      <c r="H112" s="16">
        <f>SUM(B112:G112)</f>
        <v>4270</v>
      </c>
    </row>
    <row r="113" spans="1:8" ht="14" thickTop="1" thickBot="1">
      <c r="A113" s="32" t="s">
        <v>36</v>
      </c>
      <c r="B113" s="14">
        <f>G89</f>
        <v>120</v>
      </c>
      <c r="C113" s="14">
        <f>G83</f>
        <v>1000</v>
      </c>
      <c r="D113" s="14">
        <f>G68</f>
        <v>330</v>
      </c>
      <c r="E113" s="14">
        <f>G42</f>
        <v>3990</v>
      </c>
      <c r="F113" s="14">
        <f>G27</f>
        <v>23188.2</v>
      </c>
      <c r="G113" s="14">
        <f>G12</f>
        <v>1260</v>
      </c>
      <c r="H113" s="27">
        <f>SUM(B113:G113)</f>
        <v>29888.2</v>
      </c>
    </row>
    <row r="114" spans="1:8" ht="14" thickTop="1" thickBot="1">
      <c r="A114" s="13" t="s">
        <v>29</v>
      </c>
      <c r="B114" s="39">
        <f>H89</f>
        <v>31920</v>
      </c>
      <c r="C114" s="39">
        <f t="shared" ref="C114:G114" si="8">SUM(C111:C113)</f>
        <v>101840</v>
      </c>
      <c r="D114" s="39">
        <f t="shared" si="8"/>
        <v>94390</v>
      </c>
      <c r="E114" s="39">
        <f t="shared" si="8"/>
        <v>90420</v>
      </c>
      <c r="F114" s="39">
        <f t="shared" si="8"/>
        <v>110655.11</v>
      </c>
      <c r="G114" s="39">
        <f t="shared" si="8"/>
        <v>62770.12999999999</v>
      </c>
      <c r="H114" s="27">
        <f>SUM(H111:H113)</f>
        <v>460225.24000000005</v>
      </c>
    </row>
    <row r="115" spans="1:8" ht="14" thickTop="1" thickBot="1">
      <c r="A115" s="42" t="s">
        <v>37</v>
      </c>
      <c r="B115" s="39">
        <v>31979.16</v>
      </c>
      <c r="C115" s="39">
        <f>C114</f>
        <v>101840</v>
      </c>
      <c r="D115" s="39">
        <f>D114</f>
        <v>94390</v>
      </c>
      <c r="E115" s="39">
        <f>E114</f>
        <v>90420</v>
      </c>
      <c r="F115" s="39">
        <f>F114</f>
        <v>110655.11</v>
      </c>
      <c r="G115" s="39">
        <f>G114</f>
        <v>62770.12999999999</v>
      </c>
      <c r="H115" s="27">
        <v>492054.4</v>
      </c>
    </row>
    <row r="116" spans="1:8" ht="14" thickTop="1" thickBot="1">
      <c r="A116" s="13" t="s">
        <v>30</v>
      </c>
      <c r="B116" s="39">
        <f>B115*30/70</f>
        <v>13705.354285714286</v>
      </c>
      <c r="C116" s="39">
        <f t="shared" ref="C116:G116" si="9">C115*30/70</f>
        <v>43645.714285714283</v>
      </c>
      <c r="D116" s="39">
        <f t="shared" si="9"/>
        <v>40452.857142857145</v>
      </c>
      <c r="E116" s="39">
        <f t="shared" si="9"/>
        <v>38751.428571428572</v>
      </c>
      <c r="F116" s="39">
        <f t="shared" si="9"/>
        <v>47423.618571428568</v>
      </c>
      <c r="G116" s="39">
        <f t="shared" si="9"/>
        <v>26901.484285714279</v>
      </c>
      <c r="H116" s="27">
        <f>H115*30/70</f>
        <v>210880.45714285714</v>
      </c>
    </row>
    <row r="117" spans="1:8" ht="14" thickTop="1" thickBot="1">
      <c r="A117" s="12" t="s">
        <v>31</v>
      </c>
      <c r="B117" s="24">
        <f>B116*10%</f>
        <v>1370.5354285714286</v>
      </c>
      <c r="C117" s="14">
        <f t="shared" ref="C117:G117" si="10">C116*10%</f>
        <v>4364.5714285714284</v>
      </c>
      <c r="D117" s="14">
        <f t="shared" si="10"/>
        <v>4045.2857142857147</v>
      </c>
      <c r="E117" s="14">
        <f t="shared" si="10"/>
        <v>3875.1428571428573</v>
      </c>
      <c r="F117" s="14">
        <f t="shared" si="10"/>
        <v>4742.3618571428569</v>
      </c>
      <c r="G117" s="14">
        <f t="shared" si="10"/>
        <v>2690.1484285714282</v>
      </c>
      <c r="H117" s="24">
        <f>H116*10%</f>
        <v>21088.045714285716</v>
      </c>
    </row>
    <row r="118" spans="1:8" ht="14" thickTop="1" thickBot="1">
      <c r="A118" s="12" t="s">
        <v>32</v>
      </c>
      <c r="B118" s="24">
        <f>B116*2%</f>
        <v>274.10708571428574</v>
      </c>
      <c r="C118" s="14">
        <f t="shared" ref="C118:G118" si="11">C116*2%</f>
        <v>872.91428571428571</v>
      </c>
      <c r="D118" s="14">
        <f t="shared" si="11"/>
        <v>809.05714285714294</v>
      </c>
      <c r="E118" s="14">
        <f t="shared" si="11"/>
        <v>775.02857142857147</v>
      </c>
      <c r="F118" s="14">
        <f t="shared" si="11"/>
        <v>948.47237142857136</v>
      </c>
      <c r="G118" s="14">
        <f t="shared" si="11"/>
        <v>538.02968571428562</v>
      </c>
      <c r="H118" s="24">
        <f>H116*2%</f>
        <v>4217.6091428571426</v>
      </c>
    </row>
    <row r="119" spans="1:8" ht="13.5" thickTop="1">
      <c r="A119" s="38"/>
      <c r="B119" s="38"/>
      <c r="C119" s="38"/>
      <c r="D119" s="38"/>
      <c r="E119" s="38"/>
      <c r="F119" s="38"/>
      <c r="G119" s="40"/>
      <c r="H119" s="38"/>
    </row>
    <row r="120" spans="1:8">
      <c r="A120" s="41" t="s">
        <v>38</v>
      </c>
      <c r="B120" s="9"/>
      <c r="C120" s="9"/>
      <c r="D120" s="9"/>
      <c r="E120" s="9"/>
      <c r="F120" s="9"/>
      <c r="G120" s="9"/>
      <c r="H120" s="9"/>
    </row>
    <row r="121" spans="1:8">
      <c r="A121" s="41" t="s">
        <v>65</v>
      </c>
      <c r="B121" s="9"/>
      <c r="C121" s="9"/>
      <c r="D121" s="9"/>
      <c r="E121" s="9"/>
      <c r="F121" s="9"/>
      <c r="G121" s="9"/>
      <c r="H121" s="9"/>
    </row>
    <row r="122" spans="1:8">
      <c r="A122" s="41" t="s">
        <v>66</v>
      </c>
      <c r="B122" s="9"/>
      <c r="C122" s="9"/>
      <c r="D122" s="18"/>
      <c r="E122" s="9"/>
      <c r="F122" s="9"/>
      <c r="G122" s="9"/>
      <c r="H122" s="9"/>
    </row>
    <row r="123" spans="1:8">
      <c r="A123" s="41" t="s">
        <v>67</v>
      </c>
    </row>
  </sheetData>
  <mergeCells count="8">
    <mergeCell ref="A104:H104"/>
    <mergeCell ref="B3:H3"/>
    <mergeCell ref="B14:H14"/>
    <mergeCell ref="B29:H29"/>
    <mergeCell ref="A1:H1"/>
    <mergeCell ref="B55:H55"/>
    <mergeCell ref="B70:H70"/>
    <mergeCell ref="B85:H85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6"/>
  <sheetViews>
    <sheetView topLeftCell="A87" workbookViewId="0">
      <selection activeCell="A87" sqref="A1:XFD1048576"/>
    </sheetView>
  </sheetViews>
  <sheetFormatPr baseColWidth="10" defaultRowHeight="14.5"/>
  <cols>
    <col min="1" max="1" width="15.90625" customWidth="1"/>
    <col min="2" max="2" width="10.453125" customWidth="1"/>
    <col min="3" max="3" width="10.26953125" bestFit="1" customWidth="1"/>
    <col min="4" max="4" width="9" bestFit="1" customWidth="1"/>
    <col min="5" max="5" width="11.6328125" bestFit="1" customWidth="1"/>
    <col min="6" max="6" width="9.6328125" bestFit="1" customWidth="1"/>
    <col min="7" max="7" width="11.26953125" customWidth="1"/>
    <col min="8" max="8" width="10.08984375" bestFit="1" customWidth="1"/>
    <col min="9" max="9" width="11.54296875" bestFit="1" customWidth="1"/>
    <col min="10" max="10" width="14.453125" bestFit="1" customWidth="1"/>
    <col min="18" max="18" width="17.1796875" bestFit="1" customWidth="1"/>
    <col min="19" max="20" width="14.81640625" bestFit="1" customWidth="1"/>
  </cols>
  <sheetData>
    <row r="1" spans="1:15" ht="15.5" thickTop="1" thickBot="1">
      <c r="A1" s="52" t="s">
        <v>43</v>
      </c>
      <c r="B1" s="53"/>
      <c r="C1" s="53"/>
      <c r="D1" s="53"/>
      <c r="E1" s="53"/>
      <c r="F1" s="53"/>
      <c r="G1" s="53"/>
      <c r="H1" s="54"/>
    </row>
    <row r="2" spans="1:15" ht="15.5" thickTop="1" thickBot="1">
      <c r="A2" s="37"/>
      <c r="B2" s="37"/>
      <c r="C2" s="37"/>
      <c r="D2" s="37"/>
      <c r="E2" s="37"/>
      <c r="F2" s="37"/>
      <c r="G2" s="37"/>
      <c r="H2" s="37"/>
    </row>
    <row r="3" spans="1:15" ht="19" thickBot="1">
      <c r="A3" s="1" t="s">
        <v>44</v>
      </c>
      <c r="B3" s="58" t="s">
        <v>54</v>
      </c>
      <c r="C3" s="59"/>
      <c r="D3" s="59"/>
      <c r="E3" s="59"/>
      <c r="F3" s="59"/>
      <c r="G3" s="59"/>
      <c r="H3" s="60"/>
    </row>
    <row r="4" spans="1:15" ht="53" thickBot="1">
      <c r="A4" s="2" t="s">
        <v>0</v>
      </c>
      <c r="B4" s="2" t="s">
        <v>1</v>
      </c>
      <c r="C4" s="2" t="s">
        <v>2</v>
      </c>
      <c r="D4" s="2" t="s">
        <v>3</v>
      </c>
      <c r="E4" s="3" t="s">
        <v>4</v>
      </c>
      <c r="F4" s="3" t="s">
        <v>33</v>
      </c>
      <c r="G4" s="3" t="s">
        <v>34</v>
      </c>
      <c r="H4" s="3" t="s">
        <v>26</v>
      </c>
      <c r="I4" s="4"/>
      <c r="J4" s="4"/>
      <c r="K4" s="4"/>
      <c r="L4" s="4"/>
      <c r="M4" s="4"/>
      <c r="N4" s="5"/>
      <c r="O4" s="5"/>
    </row>
    <row r="5" spans="1:15" ht="15" thickBot="1">
      <c r="A5" s="2">
        <v>1990</v>
      </c>
      <c r="B5" s="2" t="s">
        <v>6</v>
      </c>
      <c r="C5" s="2" t="s">
        <v>7</v>
      </c>
      <c r="D5" s="2" t="s">
        <v>8</v>
      </c>
      <c r="E5" s="2">
        <v>10710</v>
      </c>
      <c r="F5" s="7"/>
      <c r="G5" s="7"/>
      <c r="H5" s="7">
        <f>E5+F5+G5</f>
        <v>10710</v>
      </c>
      <c r="I5" s="8"/>
      <c r="J5" s="8"/>
      <c r="K5" s="4"/>
      <c r="L5" s="4"/>
      <c r="M5" s="4"/>
    </row>
    <row r="6" spans="1:15" ht="15" thickBot="1">
      <c r="A6" s="2">
        <v>1990</v>
      </c>
      <c r="B6" s="2" t="s">
        <v>9</v>
      </c>
      <c r="C6" s="2" t="s">
        <v>7</v>
      </c>
      <c r="D6" s="2" t="s">
        <v>8</v>
      </c>
      <c r="E6" s="2">
        <v>10620</v>
      </c>
      <c r="F6" s="7"/>
      <c r="G6" s="7"/>
      <c r="H6" s="7">
        <f t="shared" ref="H6:H7" si="0">E6+F6+G6</f>
        <v>10620</v>
      </c>
      <c r="I6" s="8"/>
      <c r="J6" s="8"/>
      <c r="K6" s="4"/>
      <c r="L6" s="4"/>
      <c r="M6" s="4"/>
    </row>
    <row r="7" spans="1:15" ht="15" thickBot="1">
      <c r="A7" s="2">
        <v>1990</v>
      </c>
      <c r="B7" s="2" t="s">
        <v>10</v>
      </c>
      <c r="C7" s="2" t="s">
        <v>7</v>
      </c>
      <c r="D7" s="2" t="s">
        <v>8</v>
      </c>
      <c r="E7" s="2">
        <v>10440</v>
      </c>
      <c r="F7" s="7">
        <v>30</v>
      </c>
      <c r="G7" s="7">
        <v>120</v>
      </c>
      <c r="H7" s="7">
        <f t="shared" si="0"/>
        <v>10590</v>
      </c>
      <c r="I7" s="8"/>
      <c r="J7" s="8"/>
      <c r="K7" s="4"/>
      <c r="L7" s="4"/>
      <c r="M7" s="4"/>
    </row>
    <row r="8" spans="1:15" ht="15" thickBot="1">
      <c r="A8" s="30" t="s">
        <v>11</v>
      </c>
      <c r="B8" s="30"/>
      <c r="C8" s="30"/>
      <c r="D8" s="30" t="s">
        <v>8</v>
      </c>
      <c r="E8" s="29">
        <f>SUM(E5:E7)</f>
        <v>31770</v>
      </c>
      <c r="F8" s="23">
        <f>SUM(F5:F7)</f>
        <v>30</v>
      </c>
      <c r="G8" s="23">
        <f>SUM(G5:G7)</f>
        <v>120</v>
      </c>
      <c r="H8" s="7">
        <f>SUM(E8:G8)</f>
        <v>31920</v>
      </c>
      <c r="I8" s="8"/>
      <c r="J8" s="8"/>
      <c r="K8" s="4"/>
      <c r="L8" s="4"/>
      <c r="M8" s="4"/>
    </row>
    <row r="9" spans="1:15" ht="15" thickBot="1">
      <c r="A9" s="36"/>
      <c r="B9" s="36"/>
      <c r="C9" s="36"/>
      <c r="D9" s="36"/>
      <c r="E9" s="4"/>
      <c r="F9" s="4"/>
      <c r="G9" s="4"/>
      <c r="H9" s="35"/>
      <c r="I9" s="8"/>
      <c r="J9" s="8"/>
      <c r="K9" s="4"/>
      <c r="L9" s="4"/>
      <c r="M9" s="4"/>
    </row>
    <row r="10" spans="1:15" ht="19" thickBot="1">
      <c r="A10" s="1" t="s">
        <v>45</v>
      </c>
      <c r="B10" s="58" t="s">
        <v>53</v>
      </c>
      <c r="C10" s="59"/>
      <c r="D10" s="59"/>
      <c r="E10" s="59"/>
      <c r="F10" s="59"/>
      <c r="G10" s="59"/>
      <c r="H10" s="60"/>
      <c r="K10" s="4"/>
      <c r="L10" s="4"/>
      <c r="M10" s="4"/>
    </row>
    <row r="11" spans="1:15" ht="15" thickBot="1">
      <c r="A11" s="2">
        <v>1991</v>
      </c>
      <c r="B11" s="2" t="s">
        <v>12</v>
      </c>
      <c r="C11" s="2" t="s">
        <v>7</v>
      </c>
      <c r="D11" s="2" t="s">
        <v>8</v>
      </c>
      <c r="E11" s="2">
        <v>10620</v>
      </c>
      <c r="F11" s="7"/>
      <c r="G11" s="7"/>
      <c r="H11" s="7">
        <f>SUM(E11:G11)</f>
        <v>10620</v>
      </c>
      <c r="I11" s="8"/>
      <c r="J11" s="8"/>
      <c r="K11" s="4"/>
      <c r="L11" s="4"/>
      <c r="M11" s="4"/>
    </row>
    <row r="12" spans="1:15" ht="15" thickBot="1">
      <c r="A12" s="2">
        <v>1991</v>
      </c>
      <c r="B12" s="2" t="s">
        <v>13</v>
      </c>
      <c r="C12" s="2" t="s">
        <v>7</v>
      </c>
      <c r="D12" s="2" t="s">
        <v>8</v>
      </c>
      <c r="E12" s="2">
        <v>10620</v>
      </c>
      <c r="F12" s="7"/>
      <c r="G12" s="7">
        <v>120</v>
      </c>
      <c r="H12" s="7">
        <f t="shared" ref="H12:H22" si="1">SUM(E12:G12)</f>
        <v>10740</v>
      </c>
      <c r="I12" s="8"/>
      <c r="J12" s="8"/>
      <c r="K12" s="4"/>
      <c r="L12" s="4"/>
      <c r="M12" s="4"/>
    </row>
    <row r="13" spans="1:15" ht="15" thickBot="1">
      <c r="A13" s="2">
        <v>1991</v>
      </c>
      <c r="B13" s="2" t="s">
        <v>14</v>
      </c>
      <c r="C13" s="2" t="s">
        <v>7</v>
      </c>
      <c r="D13" s="2" t="s">
        <v>8</v>
      </c>
      <c r="E13" s="2">
        <v>9990</v>
      </c>
      <c r="F13" s="7">
        <v>240</v>
      </c>
      <c r="G13" s="7">
        <v>150</v>
      </c>
      <c r="H13" s="7">
        <f t="shared" si="1"/>
        <v>10380</v>
      </c>
      <c r="I13" s="8"/>
      <c r="J13" s="8"/>
      <c r="K13" s="4"/>
      <c r="L13" s="4"/>
      <c r="M13" s="4"/>
    </row>
    <row r="14" spans="1:15" ht="15" thickBot="1">
      <c r="A14" s="2">
        <v>1991</v>
      </c>
      <c r="B14" s="2" t="s">
        <v>15</v>
      </c>
      <c r="C14" s="2" t="s">
        <v>7</v>
      </c>
      <c r="D14" s="2" t="s">
        <v>8</v>
      </c>
      <c r="E14" s="2">
        <v>11250</v>
      </c>
      <c r="F14" s="7">
        <v>50</v>
      </c>
      <c r="G14" s="7"/>
      <c r="H14" s="7">
        <f t="shared" si="1"/>
        <v>11300</v>
      </c>
      <c r="I14" s="8"/>
      <c r="J14" s="8"/>
      <c r="K14" s="4"/>
      <c r="L14" s="4"/>
      <c r="M14" s="4"/>
    </row>
    <row r="15" spans="1:15" ht="15" thickBot="1">
      <c r="A15" s="2">
        <v>1991</v>
      </c>
      <c r="B15" s="2" t="s">
        <v>16</v>
      </c>
      <c r="C15" s="2" t="s">
        <v>7</v>
      </c>
      <c r="D15" s="2" t="s">
        <v>8</v>
      </c>
      <c r="E15" s="2">
        <v>8910</v>
      </c>
      <c r="F15" s="7">
        <v>70</v>
      </c>
      <c r="G15" s="7">
        <v>400</v>
      </c>
      <c r="H15" s="7">
        <f t="shared" si="1"/>
        <v>9380</v>
      </c>
      <c r="I15" s="8"/>
      <c r="J15" s="8"/>
      <c r="K15" s="4"/>
      <c r="L15" s="4"/>
      <c r="M15" s="4"/>
    </row>
    <row r="16" spans="1:15" ht="15" thickBot="1">
      <c r="A16" s="2">
        <v>1991</v>
      </c>
      <c r="B16" s="2" t="s">
        <v>17</v>
      </c>
      <c r="C16" s="2" t="s">
        <v>7</v>
      </c>
      <c r="D16" s="2" t="s">
        <v>8</v>
      </c>
      <c r="E16" s="2">
        <v>6030</v>
      </c>
      <c r="F16" s="7">
        <v>130</v>
      </c>
      <c r="G16" s="7">
        <v>120</v>
      </c>
      <c r="H16" s="7">
        <f t="shared" si="1"/>
        <v>6280</v>
      </c>
      <c r="I16" s="8"/>
      <c r="J16" s="8"/>
      <c r="K16" s="4"/>
      <c r="L16" s="4"/>
      <c r="M16" s="4"/>
    </row>
    <row r="17" spans="1:13" ht="15" thickBot="1">
      <c r="A17" s="2">
        <v>1991</v>
      </c>
      <c r="B17" s="2" t="s">
        <v>18</v>
      </c>
      <c r="C17" s="2" t="s">
        <v>7</v>
      </c>
      <c r="D17" s="2" t="s">
        <v>8</v>
      </c>
      <c r="E17" s="2">
        <v>8280</v>
      </c>
      <c r="F17" s="7"/>
      <c r="G17" s="7"/>
      <c r="H17" s="7">
        <f t="shared" si="1"/>
        <v>8280</v>
      </c>
      <c r="I17" s="8"/>
      <c r="J17" s="8"/>
      <c r="K17" s="4"/>
      <c r="L17" s="4"/>
      <c r="M17" s="4"/>
    </row>
    <row r="18" spans="1:13" ht="15" thickBot="1">
      <c r="A18" s="2">
        <v>1991</v>
      </c>
      <c r="B18" s="2" t="s">
        <v>19</v>
      </c>
      <c r="C18" s="2" t="s">
        <v>7</v>
      </c>
      <c r="D18" s="2" t="s">
        <v>8</v>
      </c>
      <c r="E18" s="2">
        <v>0</v>
      </c>
      <c r="F18" s="7"/>
      <c r="G18" s="7"/>
      <c r="H18" s="7">
        <f t="shared" si="1"/>
        <v>0</v>
      </c>
      <c r="I18" s="8"/>
      <c r="J18" s="8"/>
      <c r="K18" s="4"/>
      <c r="L18" s="4"/>
      <c r="M18" s="4"/>
    </row>
    <row r="19" spans="1:13" ht="15" thickBot="1">
      <c r="A19" s="2">
        <v>1991</v>
      </c>
      <c r="B19" s="2" t="s">
        <v>20</v>
      </c>
      <c r="C19" s="2" t="s">
        <v>7</v>
      </c>
      <c r="D19" s="2" t="s">
        <v>8</v>
      </c>
      <c r="E19" s="2">
        <v>4770</v>
      </c>
      <c r="F19" s="7"/>
      <c r="G19" s="7"/>
      <c r="H19" s="7">
        <f t="shared" si="1"/>
        <v>4770</v>
      </c>
      <c r="I19" s="8"/>
      <c r="J19" s="8"/>
      <c r="K19" s="4"/>
      <c r="L19" s="4"/>
      <c r="M19" s="4"/>
    </row>
    <row r="20" spans="1:13" ht="15" thickBot="1">
      <c r="A20" s="2">
        <v>1991</v>
      </c>
      <c r="B20" s="2" t="s">
        <v>6</v>
      </c>
      <c r="C20" s="2" t="s">
        <v>7</v>
      </c>
      <c r="D20" s="2" t="s">
        <v>8</v>
      </c>
      <c r="E20" s="2">
        <v>9270</v>
      </c>
      <c r="F20" s="7"/>
      <c r="G20" s="7">
        <v>120</v>
      </c>
      <c r="H20" s="7">
        <f t="shared" si="1"/>
        <v>9390</v>
      </c>
      <c r="I20" s="8"/>
      <c r="J20" s="8"/>
      <c r="K20" s="4"/>
      <c r="L20" s="4"/>
      <c r="M20" s="4"/>
    </row>
    <row r="21" spans="1:13" ht="15" thickBot="1">
      <c r="A21" s="2">
        <v>1991</v>
      </c>
      <c r="B21" s="2" t="s">
        <v>9</v>
      </c>
      <c r="C21" s="2" t="s">
        <v>7</v>
      </c>
      <c r="D21" s="2" t="s">
        <v>8</v>
      </c>
      <c r="E21" s="2">
        <v>9090</v>
      </c>
      <c r="F21" s="7"/>
      <c r="G21" s="7"/>
      <c r="H21" s="7">
        <f t="shared" si="1"/>
        <v>9090</v>
      </c>
      <c r="I21" s="8"/>
      <c r="J21" s="8"/>
      <c r="K21" s="4"/>
      <c r="L21" s="4"/>
      <c r="M21" s="4"/>
    </row>
    <row r="22" spans="1:13" ht="15" thickBot="1">
      <c r="A22" s="2">
        <v>1991</v>
      </c>
      <c r="B22" s="2" t="s">
        <v>10</v>
      </c>
      <c r="C22" s="2" t="s">
        <v>7</v>
      </c>
      <c r="D22" s="2" t="s">
        <v>8</v>
      </c>
      <c r="E22" s="2">
        <v>11430</v>
      </c>
      <c r="F22" s="7">
        <v>90</v>
      </c>
      <c r="G22" s="7">
        <v>90</v>
      </c>
      <c r="H22" s="7">
        <f t="shared" si="1"/>
        <v>11610</v>
      </c>
      <c r="I22" s="8"/>
      <c r="J22" s="8"/>
      <c r="K22" s="4"/>
      <c r="L22" s="4"/>
      <c r="M22" s="4"/>
    </row>
    <row r="23" spans="1:13" ht="15" thickBot="1">
      <c r="A23" s="30" t="s">
        <v>21</v>
      </c>
      <c r="B23" s="30"/>
      <c r="C23" s="30"/>
      <c r="D23" s="30" t="s">
        <v>8</v>
      </c>
      <c r="E23" s="23">
        <f>SUM(E11:E22)</f>
        <v>100260</v>
      </c>
      <c r="F23" s="23">
        <f>SUM(F11:F22)</f>
        <v>580</v>
      </c>
      <c r="G23" s="23">
        <f>SUM(G11:G22)</f>
        <v>1000</v>
      </c>
      <c r="H23" s="7">
        <f>E23+F23+G23</f>
        <v>101840</v>
      </c>
      <c r="I23" s="8"/>
      <c r="J23" s="8"/>
      <c r="K23" s="4"/>
      <c r="L23" s="4"/>
      <c r="M23" s="4"/>
    </row>
    <row r="24" spans="1:13" ht="15" thickBot="1">
      <c r="A24" s="36"/>
      <c r="B24" s="58"/>
      <c r="C24" s="59"/>
      <c r="D24" s="59"/>
      <c r="E24" s="59"/>
      <c r="F24" s="59"/>
      <c r="G24" s="59"/>
      <c r="H24" s="60"/>
      <c r="I24" s="8"/>
      <c r="J24" s="8"/>
      <c r="K24" s="4"/>
      <c r="L24" s="4"/>
      <c r="M24" s="4"/>
    </row>
    <row r="25" spans="1:13" ht="19" thickBot="1">
      <c r="A25" s="1" t="s">
        <v>46</v>
      </c>
      <c r="B25" s="58" t="s">
        <v>52</v>
      </c>
      <c r="C25" s="59"/>
      <c r="D25" s="59"/>
      <c r="E25" s="59"/>
      <c r="F25" s="59"/>
      <c r="G25" s="59"/>
      <c r="H25" s="60"/>
      <c r="I25" s="8"/>
      <c r="J25" s="10"/>
    </row>
    <row r="26" spans="1:13" ht="15" thickBot="1">
      <c r="A26" s="2">
        <v>1992</v>
      </c>
      <c r="B26" s="2" t="s">
        <v>12</v>
      </c>
      <c r="C26" s="2" t="s">
        <v>7</v>
      </c>
      <c r="D26" s="2" t="s">
        <v>8</v>
      </c>
      <c r="E26" s="2">
        <v>10440</v>
      </c>
      <c r="F26" s="7">
        <v>170</v>
      </c>
      <c r="G26" s="3"/>
      <c r="H26" s="7">
        <f>E26+F26+G26</f>
        <v>10610</v>
      </c>
      <c r="I26" s="8"/>
      <c r="J26" s="8"/>
      <c r="K26" s="4"/>
      <c r="L26" s="4"/>
      <c r="M26" s="4"/>
    </row>
    <row r="27" spans="1:13" ht="15" thickBot="1">
      <c r="A27" s="2">
        <v>1992</v>
      </c>
      <c r="B27" s="2" t="s">
        <v>13</v>
      </c>
      <c r="C27" s="2" t="s">
        <v>7</v>
      </c>
      <c r="D27" s="2" t="s">
        <v>8</v>
      </c>
      <c r="E27" s="2">
        <v>8370</v>
      </c>
      <c r="F27" s="7">
        <v>110</v>
      </c>
      <c r="G27" s="7">
        <v>120</v>
      </c>
      <c r="H27" s="7">
        <f>E27+F27+G27</f>
        <v>8600</v>
      </c>
      <c r="I27" s="8"/>
      <c r="J27" s="8"/>
      <c r="K27" s="4"/>
      <c r="L27" s="4"/>
      <c r="M27" s="4"/>
    </row>
    <row r="28" spans="1:13" ht="15" thickBot="1">
      <c r="A28" s="2">
        <v>1992</v>
      </c>
      <c r="B28" s="2" t="s">
        <v>14</v>
      </c>
      <c r="C28" s="2" t="s">
        <v>7</v>
      </c>
      <c r="D28" s="2" t="s">
        <v>8</v>
      </c>
      <c r="E28" s="2">
        <v>11430</v>
      </c>
      <c r="F28" s="7">
        <v>60</v>
      </c>
      <c r="G28" s="7"/>
      <c r="H28" s="7">
        <f t="shared" ref="H28:H29" si="2">E28+F28+G28</f>
        <v>11490</v>
      </c>
      <c r="I28" s="8"/>
      <c r="J28" s="8"/>
      <c r="K28" s="4"/>
      <c r="L28" s="4"/>
      <c r="M28" s="4"/>
    </row>
    <row r="29" spans="1:13" ht="15" thickBot="1">
      <c r="A29" s="2">
        <v>1992</v>
      </c>
      <c r="B29" s="2" t="s">
        <v>15</v>
      </c>
      <c r="C29" s="2" t="s">
        <v>7</v>
      </c>
      <c r="D29" s="2" t="s">
        <v>8</v>
      </c>
      <c r="E29" s="2">
        <v>9990</v>
      </c>
      <c r="F29" s="7"/>
      <c r="G29" s="7"/>
      <c r="H29" s="7">
        <f t="shared" si="2"/>
        <v>9990</v>
      </c>
      <c r="I29" s="8"/>
      <c r="J29" s="8"/>
      <c r="K29" s="4"/>
      <c r="L29" s="4"/>
      <c r="M29" s="4"/>
    </row>
    <row r="30" spans="1:13" ht="15" thickBot="1">
      <c r="A30" s="2">
        <v>1992</v>
      </c>
      <c r="B30" s="2" t="s">
        <v>16</v>
      </c>
      <c r="C30" s="2" t="s">
        <v>7</v>
      </c>
      <c r="D30" s="2" t="s">
        <v>8</v>
      </c>
      <c r="E30" s="2">
        <v>5850</v>
      </c>
      <c r="F30" s="7">
        <v>230</v>
      </c>
      <c r="G30" s="7">
        <v>90</v>
      </c>
      <c r="H30" s="7">
        <f>E30+F30+G30</f>
        <v>6170</v>
      </c>
      <c r="I30" s="8"/>
      <c r="J30" s="8"/>
      <c r="K30" s="4"/>
      <c r="L30" s="4"/>
      <c r="M30" s="4"/>
    </row>
    <row r="31" spans="1:13" ht="15" thickBot="1">
      <c r="A31" s="2">
        <v>1992</v>
      </c>
      <c r="B31" s="2" t="s">
        <v>17</v>
      </c>
      <c r="C31" s="2" t="s">
        <v>7</v>
      </c>
      <c r="D31" s="2" t="s">
        <v>8</v>
      </c>
      <c r="E31" s="2">
        <v>6570</v>
      </c>
      <c r="F31" s="7">
        <v>110</v>
      </c>
      <c r="G31" s="7">
        <v>120</v>
      </c>
      <c r="H31" s="7">
        <f t="shared" ref="H31:H37" si="3">E31+F31+G31</f>
        <v>6800</v>
      </c>
      <c r="I31" s="8"/>
      <c r="J31" s="8"/>
      <c r="K31" s="4"/>
      <c r="L31" s="4"/>
      <c r="M31" s="4"/>
    </row>
    <row r="32" spans="1:13" ht="15" thickBot="1">
      <c r="A32" s="2">
        <v>1992</v>
      </c>
      <c r="B32" s="2" t="s">
        <v>18</v>
      </c>
      <c r="C32" s="2" t="s">
        <v>7</v>
      </c>
      <c r="D32" s="2" t="s">
        <v>8</v>
      </c>
      <c r="E32" s="2">
        <v>4950</v>
      </c>
      <c r="F32" s="7"/>
      <c r="G32" s="7"/>
      <c r="H32" s="7">
        <f t="shared" si="3"/>
        <v>4950</v>
      </c>
      <c r="I32" s="8"/>
      <c r="J32" s="8"/>
      <c r="K32" s="4"/>
      <c r="L32" s="4"/>
      <c r="M32" s="4"/>
    </row>
    <row r="33" spans="1:13" ht="15" thickBot="1">
      <c r="A33" s="2">
        <v>1992</v>
      </c>
      <c r="B33" s="2" t="s">
        <v>19</v>
      </c>
      <c r="C33" s="2" t="s">
        <v>7</v>
      </c>
      <c r="D33" s="2" t="s">
        <v>8</v>
      </c>
      <c r="E33" s="2">
        <v>0</v>
      </c>
      <c r="F33" s="7"/>
      <c r="G33" s="7"/>
      <c r="H33" s="7">
        <f t="shared" si="3"/>
        <v>0</v>
      </c>
      <c r="I33" s="8"/>
      <c r="J33" s="8"/>
      <c r="K33" s="4"/>
      <c r="L33" s="4"/>
      <c r="M33" s="4"/>
    </row>
    <row r="34" spans="1:13" ht="15" thickBot="1">
      <c r="A34" s="2">
        <v>1992</v>
      </c>
      <c r="B34" s="2" t="s">
        <v>20</v>
      </c>
      <c r="C34" s="2" t="s">
        <v>7</v>
      </c>
      <c r="D34" s="2" t="s">
        <v>8</v>
      </c>
      <c r="E34" s="2">
        <v>4140</v>
      </c>
      <c r="F34" s="7"/>
      <c r="G34" s="7"/>
      <c r="H34" s="7">
        <f t="shared" si="3"/>
        <v>4140</v>
      </c>
      <c r="I34" s="8"/>
      <c r="J34" s="8"/>
      <c r="K34" s="4"/>
      <c r="L34" s="4"/>
      <c r="M34" s="4"/>
    </row>
    <row r="35" spans="1:13" ht="15" thickBot="1">
      <c r="A35" s="2">
        <v>1992</v>
      </c>
      <c r="B35" s="2" t="s">
        <v>6</v>
      </c>
      <c r="C35" s="2" t="s">
        <v>7</v>
      </c>
      <c r="D35" s="2" t="s">
        <v>8</v>
      </c>
      <c r="E35" s="2">
        <v>9720</v>
      </c>
      <c r="F35" s="7"/>
      <c r="G35" s="7"/>
      <c r="H35" s="7">
        <f t="shared" si="3"/>
        <v>9720</v>
      </c>
      <c r="I35" s="8"/>
      <c r="J35" s="8"/>
      <c r="K35" s="4"/>
      <c r="L35" s="4"/>
      <c r="M35" s="4"/>
    </row>
    <row r="36" spans="1:13" ht="15" thickBot="1">
      <c r="A36" s="2">
        <v>1992</v>
      </c>
      <c r="B36" s="2" t="s">
        <v>9</v>
      </c>
      <c r="C36" s="2" t="s">
        <v>7</v>
      </c>
      <c r="D36" s="2" t="s">
        <v>8</v>
      </c>
      <c r="E36" s="2">
        <v>10800</v>
      </c>
      <c r="F36" s="7">
        <v>50</v>
      </c>
      <c r="G36" s="7"/>
      <c r="H36" s="7">
        <f t="shared" si="3"/>
        <v>10850</v>
      </c>
      <c r="I36" s="8"/>
      <c r="J36" s="8"/>
      <c r="K36" s="4"/>
      <c r="L36" s="4"/>
      <c r="M36" s="4"/>
    </row>
    <row r="37" spans="1:13" ht="15" thickBot="1">
      <c r="A37" s="2">
        <v>1992</v>
      </c>
      <c r="B37" s="2" t="s">
        <v>10</v>
      </c>
      <c r="C37" s="2" t="s">
        <v>7</v>
      </c>
      <c r="D37" s="2" t="s">
        <v>8</v>
      </c>
      <c r="E37" s="2">
        <v>11070</v>
      </c>
      <c r="F37" s="7"/>
      <c r="G37" s="7"/>
      <c r="H37" s="7">
        <f t="shared" si="3"/>
        <v>11070</v>
      </c>
      <c r="I37" s="8"/>
      <c r="J37" s="8"/>
      <c r="K37" s="4"/>
      <c r="L37" s="4"/>
      <c r="M37" s="4"/>
    </row>
    <row r="38" spans="1:13" ht="15" thickBot="1">
      <c r="A38" s="30" t="s">
        <v>22</v>
      </c>
      <c r="B38" s="30"/>
      <c r="C38" s="30"/>
      <c r="D38" s="30" t="s">
        <v>8</v>
      </c>
      <c r="E38" s="23">
        <f>SUM(E26:E37)</f>
        <v>93330</v>
      </c>
      <c r="F38" s="23">
        <f>SUM(F26:F37)</f>
        <v>730</v>
      </c>
      <c r="G38" s="23">
        <f>SUM(G26:G37)</f>
        <v>330</v>
      </c>
      <c r="H38" s="7">
        <f>E38+F38+G38</f>
        <v>94390</v>
      </c>
      <c r="I38" s="8"/>
      <c r="J38" s="8"/>
      <c r="K38" s="4"/>
      <c r="L38" s="4"/>
      <c r="M38" s="4"/>
    </row>
    <row r="44" spans="1:13">
      <c r="I44" s="8"/>
      <c r="J44" s="8"/>
      <c r="K44" s="4"/>
      <c r="L44" s="4"/>
      <c r="M44" s="4"/>
    </row>
    <row r="45" spans="1:13" s="8" customFormat="1">
      <c r="G45"/>
      <c r="H45"/>
    </row>
    <row r="46" spans="1:13" s="8" customFormat="1">
      <c r="G46"/>
      <c r="H46"/>
    </row>
    <row r="47" spans="1:13" s="8" customFormat="1" ht="15" thickBot="1"/>
    <row r="48" spans="1:13" s="8" customFormat="1" ht="19" thickBot="1">
      <c r="A48" s="1" t="s">
        <v>47</v>
      </c>
      <c r="B48" s="58" t="s">
        <v>51</v>
      </c>
      <c r="C48" s="59"/>
      <c r="D48" s="59"/>
      <c r="E48" s="59"/>
      <c r="F48" s="59"/>
      <c r="G48" s="59"/>
      <c r="H48" s="60"/>
    </row>
    <row r="49" spans="1:13" s="8" customFormat="1" ht="92" thickBot="1">
      <c r="A49" s="2" t="s">
        <v>0</v>
      </c>
      <c r="B49" s="2" t="s">
        <v>1</v>
      </c>
      <c r="C49" s="2" t="s">
        <v>2</v>
      </c>
      <c r="D49" s="2" t="s">
        <v>3</v>
      </c>
      <c r="E49" s="3" t="s">
        <v>4</v>
      </c>
      <c r="F49" s="3" t="s">
        <v>5</v>
      </c>
      <c r="G49" s="3" t="s">
        <v>35</v>
      </c>
      <c r="H49" s="3" t="s">
        <v>26</v>
      </c>
    </row>
    <row r="50" spans="1:13" ht="15" thickBot="1">
      <c r="A50" s="2">
        <v>1993</v>
      </c>
      <c r="B50" s="2" t="s">
        <v>12</v>
      </c>
      <c r="C50" s="2" t="s">
        <v>7</v>
      </c>
      <c r="D50" s="2" t="s">
        <v>8</v>
      </c>
      <c r="E50" s="2">
        <v>9720</v>
      </c>
      <c r="F50" s="7">
        <v>430</v>
      </c>
      <c r="G50" s="7">
        <v>90</v>
      </c>
      <c r="H50" s="7">
        <f t="shared" ref="H50:H52" si="4">SUM(E50:G50)</f>
        <v>10240</v>
      </c>
      <c r="I50" s="8"/>
      <c r="J50" s="8"/>
      <c r="K50" s="4"/>
      <c r="L50" s="4"/>
      <c r="M50" s="4"/>
    </row>
    <row r="51" spans="1:13" ht="15" thickBot="1">
      <c r="A51" s="2">
        <v>1993</v>
      </c>
      <c r="B51" s="2" t="s">
        <v>13</v>
      </c>
      <c r="C51" s="2" t="s">
        <v>7</v>
      </c>
      <c r="D51" s="2" t="s">
        <v>8</v>
      </c>
      <c r="E51" s="2">
        <v>7290</v>
      </c>
      <c r="F51" s="7">
        <v>360</v>
      </c>
      <c r="G51" s="7"/>
      <c r="H51" s="7">
        <f t="shared" si="4"/>
        <v>7650</v>
      </c>
      <c r="I51" s="8"/>
      <c r="J51" s="8"/>
      <c r="K51" s="4"/>
      <c r="L51" s="4"/>
      <c r="M51" s="4"/>
    </row>
    <row r="52" spans="1:13" ht="15" thickBot="1">
      <c r="A52" s="2">
        <v>1993</v>
      </c>
      <c r="B52" s="2" t="s">
        <v>14</v>
      </c>
      <c r="C52" s="2" t="s">
        <v>7</v>
      </c>
      <c r="D52" s="2" t="s">
        <v>8</v>
      </c>
      <c r="E52" s="2">
        <v>11430</v>
      </c>
      <c r="F52" s="7">
        <v>190</v>
      </c>
      <c r="G52" s="3"/>
      <c r="H52" s="7">
        <f t="shared" si="4"/>
        <v>11620</v>
      </c>
      <c r="I52" s="8"/>
      <c r="J52" s="8"/>
      <c r="K52" s="4"/>
      <c r="L52" s="4"/>
      <c r="M52" s="4"/>
    </row>
    <row r="53" spans="1:13" ht="15" thickBot="1">
      <c r="A53" s="2">
        <v>1993</v>
      </c>
      <c r="B53" s="2" t="s">
        <v>15</v>
      </c>
      <c r="C53" s="2" t="s">
        <v>7</v>
      </c>
      <c r="D53" s="2" t="s">
        <v>8</v>
      </c>
      <c r="E53" s="2">
        <v>9090</v>
      </c>
      <c r="F53" s="7">
        <v>280</v>
      </c>
      <c r="G53" s="3">
        <v>90</v>
      </c>
      <c r="H53" s="7">
        <f t="shared" ref="H53:H61" si="5">SUM(E53:G53)</f>
        <v>9460</v>
      </c>
      <c r="I53" s="8"/>
      <c r="J53" s="8"/>
      <c r="K53" s="4"/>
      <c r="L53" s="4"/>
      <c r="M53" s="4"/>
    </row>
    <row r="54" spans="1:13" ht="15" thickBot="1">
      <c r="A54" s="2">
        <v>1993</v>
      </c>
      <c r="B54" s="2" t="s">
        <v>16</v>
      </c>
      <c r="C54" s="2" t="s">
        <v>7</v>
      </c>
      <c r="D54" s="2" t="s">
        <v>8</v>
      </c>
      <c r="E54" s="2">
        <v>7380</v>
      </c>
      <c r="F54" s="7">
        <v>600</v>
      </c>
      <c r="G54" s="3"/>
      <c r="H54" s="7">
        <f t="shared" si="5"/>
        <v>7980</v>
      </c>
      <c r="I54" s="8"/>
      <c r="J54" s="8"/>
      <c r="K54" s="4"/>
      <c r="L54" s="4"/>
      <c r="M54" s="4"/>
    </row>
    <row r="55" spans="1:13" ht="15" thickBot="1">
      <c r="A55" s="2">
        <v>1993</v>
      </c>
      <c r="B55" s="2" t="s">
        <v>17</v>
      </c>
      <c r="C55" s="2" t="s">
        <v>7</v>
      </c>
      <c r="D55" s="2" t="s">
        <v>8</v>
      </c>
      <c r="E55" s="2">
        <v>5310</v>
      </c>
      <c r="F55" s="7"/>
      <c r="G55" s="3"/>
      <c r="H55" s="7">
        <f t="shared" si="5"/>
        <v>5310</v>
      </c>
      <c r="I55" s="8"/>
      <c r="J55" s="8"/>
      <c r="K55" s="4"/>
      <c r="L55" s="4"/>
      <c r="M55" s="4"/>
    </row>
    <row r="56" spans="1:13" ht="15" thickBot="1">
      <c r="A56" s="2">
        <v>1993</v>
      </c>
      <c r="B56" s="2" t="s">
        <v>18</v>
      </c>
      <c r="C56" s="2" t="s">
        <v>7</v>
      </c>
      <c r="D56" s="2" t="s">
        <v>8</v>
      </c>
      <c r="E56" s="2">
        <v>6930</v>
      </c>
      <c r="F56" s="7">
        <v>120</v>
      </c>
      <c r="G56" s="3"/>
      <c r="H56" s="7">
        <f t="shared" si="5"/>
        <v>7050</v>
      </c>
      <c r="I56" s="8"/>
      <c r="J56" s="8"/>
      <c r="K56" s="4"/>
      <c r="L56" s="4"/>
      <c r="M56" s="4"/>
    </row>
    <row r="57" spans="1:13" ht="15" thickBot="1">
      <c r="A57" s="2">
        <v>1993</v>
      </c>
      <c r="B57" s="2" t="s">
        <v>19</v>
      </c>
      <c r="C57" s="2" t="s">
        <v>7</v>
      </c>
      <c r="D57" s="2" t="s">
        <v>8</v>
      </c>
      <c r="E57" s="2">
        <v>0</v>
      </c>
      <c r="F57" s="7"/>
      <c r="G57" s="3"/>
      <c r="H57" s="7">
        <f t="shared" si="5"/>
        <v>0</v>
      </c>
      <c r="I57" s="8"/>
      <c r="J57" s="8"/>
      <c r="K57" s="4"/>
      <c r="L57" s="4"/>
      <c r="M57" s="4"/>
    </row>
    <row r="58" spans="1:13" ht="15" thickBot="1">
      <c r="A58" s="2">
        <v>1993</v>
      </c>
      <c r="B58" s="2" t="s">
        <v>20</v>
      </c>
      <c r="C58" s="2" t="s">
        <v>7</v>
      </c>
      <c r="D58" s="2" t="s">
        <v>8</v>
      </c>
      <c r="E58" s="2">
        <v>3060</v>
      </c>
      <c r="F58" s="7">
        <v>140</v>
      </c>
      <c r="G58" s="3"/>
      <c r="H58" s="7">
        <f t="shared" si="5"/>
        <v>3200</v>
      </c>
      <c r="I58" s="8"/>
      <c r="J58" s="8"/>
      <c r="K58" s="4"/>
      <c r="L58" s="4"/>
      <c r="M58" s="4"/>
    </row>
    <row r="59" spans="1:13" ht="15" thickBot="1">
      <c r="A59" s="2">
        <v>1993</v>
      </c>
      <c r="B59" s="2" t="s">
        <v>6</v>
      </c>
      <c r="C59" s="2" t="s">
        <v>7</v>
      </c>
      <c r="D59" s="2" t="s">
        <v>8</v>
      </c>
      <c r="E59" s="2">
        <v>7290</v>
      </c>
      <c r="F59" s="7">
        <v>160</v>
      </c>
      <c r="G59" s="3">
        <v>60</v>
      </c>
      <c r="H59" s="7">
        <f t="shared" si="5"/>
        <v>7510</v>
      </c>
      <c r="I59" s="8"/>
      <c r="J59" s="8"/>
      <c r="K59" s="4"/>
      <c r="L59" s="4"/>
      <c r="M59" s="4"/>
    </row>
    <row r="60" spans="1:13" ht="15" thickBot="1">
      <c r="A60" s="2">
        <v>1993</v>
      </c>
      <c r="B60" s="2" t="s">
        <v>9</v>
      </c>
      <c r="C60" s="2" t="s">
        <v>7</v>
      </c>
      <c r="D60" s="2" t="s">
        <v>8</v>
      </c>
      <c r="E60" s="2">
        <v>8730</v>
      </c>
      <c r="F60" s="7"/>
      <c r="G60" s="3"/>
      <c r="H60" s="7">
        <f t="shared" si="5"/>
        <v>8730</v>
      </c>
      <c r="I60" s="8"/>
      <c r="J60" s="8"/>
      <c r="K60" s="4"/>
      <c r="L60" s="4"/>
      <c r="M60" s="4"/>
    </row>
    <row r="61" spans="1:13" ht="15" thickBot="1">
      <c r="A61" s="2">
        <v>1993</v>
      </c>
      <c r="B61" s="2" t="s">
        <v>10</v>
      </c>
      <c r="C61" s="2" t="s">
        <v>7</v>
      </c>
      <c r="D61" s="2" t="s">
        <v>8</v>
      </c>
      <c r="E61" s="2">
        <v>7920</v>
      </c>
      <c r="F61" s="7"/>
      <c r="G61" s="3">
        <f>150+3420+180</f>
        <v>3750</v>
      </c>
      <c r="H61" s="7">
        <f t="shared" si="5"/>
        <v>11670</v>
      </c>
      <c r="I61" s="8"/>
      <c r="J61" s="8"/>
      <c r="K61" s="4"/>
      <c r="L61" s="4"/>
      <c r="M61" s="4"/>
    </row>
    <row r="62" spans="1:13" ht="15" thickBot="1">
      <c r="A62" s="2" t="s">
        <v>23</v>
      </c>
      <c r="B62" s="2"/>
      <c r="C62" s="2"/>
      <c r="D62" s="2" t="s">
        <v>8</v>
      </c>
      <c r="E62" s="29">
        <f>SUM(E50:E61)</f>
        <v>84150</v>
      </c>
      <c r="F62" s="29">
        <f>SUM(F50:F61)</f>
        <v>2280</v>
      </c>
      <c r="G62" s="29">
        <f>SUM(G50:G61)</f>
        <v>3990</v>
      </c>
      <c r="H62" s="7">
        <f>E62+F62+G62</f>
        <v>90420</v>
      </c>
      <c r="I62" s="8"/>
      <c r="J62" s="8"/>
      <c r="K62" s="8"/>
      <c r="L62" s="8"/>
      <c r="M62" s="8"/>
    </row>
    <row r="63" spans="1:13" ht="15" thickBot="1">
      <c r="A63" s="17"/>
      <c r="B63" s="17"/>
      <c r="C63" s="17"/>
      <c r="D63" s="17"/>
      <c r="E63" s="8"/>
      <c r="F63" s="8"/>
      <c r="G63" s="8"/>
      <c r="H63" s="35"/>
      <c r="I63" s="8"/>
      <c r="J63" s="8"/>
      <c r="K63" s="8"/>
      <c r="L63" s="8"/>
      <c r="M63" s="8"/>
    </row>
    <row r="64" spans="1:13" ht="19" thickBot="1">
      <c r="A64" s="1" t="s">
        <v>48</v>
      </c>
      <c r="B64" s="58" t="s">
        <v>55</v>
      </c>
      <c r="C64" s="59"/>
      <c r="D64" s="59"/>
      <c r="E64" s="59"/>
      <c r="F64" s="59"/>
      <c r="G64" s="59"/>
      <c r="H64" s="60"/>
      <c r="I64" s="8"/>
      <c r="J64" s="8"/>
    </row>
    <row r="65" spans="1:15" ht="15" thickBot="1">
      <c r="A65" s="2">
        <v>1994</v>
      </c>
      <c r="B65" s="2" t="s">
        <v>12</v>
      </c>
      <c r="C65" s="2" t="s">
        <v>7</v>
      </c>
      <c r="D65" s="2" t="s">
        <v>8</v>
      </c>
      <c r="E65" s="2">
        <f>(6048+2591.99)</f>
        <v>8639.99</v>
      </c>
      <c r="F65" s="7"/>
      <c r="G65" s="7">
        <f>3060+1350</f>
        <v>4410</v>
      </c>
      <c r="H65" s="7">
        <f>SUM(E65:G65)</f>
        <v>13049.99</v>
      </c>
      <c r="I65" s="8"/>
      <c r="J65" s="8"/>
      <c r="K65" s="8"/>
      <c r="L65" s="4"/>
      <c r="M65" s="4"/>
    </row>
    <row r="66" spans="1:15" ht="15" thickBot="1">
      <c r="A66" s="2">
        <v>1994</v>
      </c>
      <c r="B66" s="2" t="s">
        <v>13</v>
      </c>
      <c r="C66" s="2" t="s">
        <v>7</v>
      </c>
      <c r="D66" s="2" t="s">
        <v>8</v>
      </c>
      <c r="E66" s="2">
        <f>(5355+2294.99)</f>
        <v>7649.99</v>
      </c>
      <c r="F66" s="7"/>
      <c r="G66" s="7">
        <f>90+2700+509.4</f>
        <v>3299.4</v>
      </c>
      <c r="H66" s="7">
        <f t="shared" ref="H66:H76" si="6">SUM(E66:G66)</f>
        <v>10949.39</v>
      </c>
      <c r="I66" s="8"/>
      <c r="J66" s="8"/>
      <c r="K66" s="8"/>
      <c r="L66" s="8"/>
      <c r="M66" s="4"/>
    </row>
    <row r="67" spans="1:15" ht="15" thickBot="1">
      <c r="A67" s="2">
        <v>1994</v>
      </c>
      <c r="B67" s="2" t="s">
        <v>14</v>
      </c>
      <c r="C67" s="2" t="s">
        <v>7</v>
      </c>
      <c r="D67" s="2" t="s">
        <v>8</v>
      </c>
      <c r="E67" s="2">
        <f>6111+2618.99</f>
        <v>8729.99</v>
      </c>
      <c r="F67" s="7">
        <v>280</v>
      </c>
      <c r="G67" s="7">
        <v>120</v>
      </c>
      <c r="H67" s="7">
        <f t="shared" si="6"/>
        <v>9129.99</v>
      </c>
      <c r="I67" s="8"/>
      <c r="J67" s="8"/>
      <c r="K67" s="8"/>
      <c r="L67" s="8"/>
      <c r="M67" s="4"/>
    </row>
    <row r="68" spans="1:15" ht="15" thickBot="1">
      <c r="A68" s="2">
        <v>1994</v>
      </c>
      <c r="B68" s="2" t="s">
        <v>15</v>
      </c>
      <c r="C68" s="2" t="s">
        <v>7</v>
      </c>
      <c r="D68" s="2" t="s">
        <v>8</v>
      </c>
      <c r="E68" s="2">
        <f>(5544+2375.99)</f>
        <v>7919.99</v>
      </c>
      <c r="F68" s="7">
        <v>90</v>
      </c>
      <c r="G68" s="3">
        <f>30+1800</f>
        <v>1830</v>
      </c>
      <c r="H68" s="7">
        <f t="shared" si="6"/>
        <v>9839.99</v>
      </c>
      <c r="I68" s="8"/>
      <c r="J68" s="8"/>
      <c r="K68" s="8"/>
      <c r="L68" s="8"/>
      <c r="M68" s="4"/>
      <c r="N68" s="10"/>
      <c r="O68" s="10"/>
    </row>
    <row r="69" spans="1:15" ht="15" thickBot="1">
      <c r="A69" s="2">
        <v>1994</v>
      </c>
      <c r="B69" s="2" t="s">
        <v>16</v>
      </c>
      <c r="C69" s="2" t="s">
        <v>7</v>
      </c>
      <c r="D69" s="2" t="s">
        <v>8</v>
      </c>
      <c r="E69" s="2">
        <f>(7056+3023.99)</f>
        <v>10079.99</v>
      </c>
      <c r="F69" s="7">
        <v>130</v>
      </c>
      <c r="G69" s="3">
        <v>0</v>
      </c>
      <c r="H69" s="7">
        <f t="shared" si="6"/>
        <v>10209.99</v>
      </c>
      <c r="I69" s="8"/>
      <c r="J69" s="8"/>
      <c r="K69" s="8"/>
      <c r="L69" s="8"/>
      <c r="M69" s="4"/>
      <c r="O69" s="10"/>
    </row>
    <row r="70" spans="1:15" ht="15" thickBot="1">
      <c r="A70" s="2">
        <v>1994</v>
      </c>
      <c r="B70" s="2" t="s">
        <v>17</v>
      </c>
      <c r="C70" s="2" t="s">
        <v>7</v>
      </c>
      <c r="D70" s="2" t="s">
        <v>8</v>
      </c>
      <c r="E70" s="2">
        <f>(3780+1619.99)</f>
        <v>5399.99</v>
      </c>
      <c r="F70" s="7"/>
      <c r="G70" s="3">
        <f>2565</f>
        <v>2565</v>
      </c>
      <c r="H70" s="7">
        <f t="shared" si="6"/>
        <v>7964.99</v>
      </c>
      <c r="I70" s="8"/>
      <c r="J70" s="8"/>
      <c r="K70" s="8"/>
      <c r="L70" s="8"/>
      <c r="M70" s="8"/>
      <c r="O70" s="10"/>
    </row>
    <row r="71" spans="1:15" ht="15" thickBot="1">
      <c r="A71" s="2">
        <v>1994</v>
      </c>
      <c r="B71" s="2" t="s">
        <v>18</v>
      </c>
      <c r="C71" s="2" t="s">
        <v>7</v>
      </c>
      <c r="D71" s="2" t="s">
        <v>8</v>
      </c>
      <c r="E71" s="2">
        <f>(2268+972)</f>
        <v>3240</v>
      </c>
      <c r="F71" s="7"/>
      <c r="G71" s="3">
        <v>2728.8</v>
      </c>
      <c r="H71" s="7">
        <f t="shared" si="6"/>
        <v>5968.8</v>
      </c>
      <c r="I71" s="8"/>
      <c r="J71" s="8"/>
      <c r="K71" s="8"/>
      <c r="L71" s="8"/>
      <c r="M71" s="4"/>
    </row>
    <row r="72" spans="1:15" ht="15" thickBot="1">
      <c r="A72" s="2">
        <v>1994</v>
      </c>
      <c r="B72" s="2" t="s">
        <v>19</v>
      </c>
      <c r="C72" s="2" t="s">
        <v>7</v>
      </c>
      <c r="D72" s="2" t="s">
        <v>8</v>
      </c>
      <c r="E72" s="2">
        <v>0</v>
      </c>
      <c r="F72" s="7"/>
      <c r="G72" s="3"/>
      <c r="H72" s="7">
        <f t="shared" si="6"/>
        <v>0</v>
      </c>
      <c r="I72" s="8"/>
      <c r="J72" s="8"/>
      <c r="K72" s="8"/>
      <c r="L72" s="8"/>
      <c r="M72" s="4"/>
    </row>
    <row r="73" spans="1:15" ht="15" thickBot="1">
      <c r="A73" s="2">
        <v>1994</v>
      </c>
      <c r="B73" s="2" t="s">
        <v>20</v>
      </c>
      <c r="C73" s="2" t="s">
        <v>7</v>
      </c>
      <c r="D73" s="2" t="s">
        <v>8</v>
      </c>
      <c r="E73" s="2">
        <f>(3402+1458)</f>
        <v>4860</v>
      </c>
      <c r="F73" s="7"/>
      <c r="G73" s="3">
        <f>1800+810</f>
        <v>2610</v>
      </c>
      <c r="H73" s="7">
        <f t="shared" si="6"/>
        <v>7470</v>
      </c>
      <c r="I73" s="8"/>
      <c r="J73" s="8"/>
      <c r="K73" s="8"/>
      <c r="L73" s="8"/>
      <c r="M73" s="4"/>
    </row>
    <row r="74" spans="1:15" ht="15" thickBot="1">
      <c r="A74" s="2">
        <v>1994</v>
      </c>
      <c r="B74" s="2" t="s">
        <v>6</v>
      </c>
      <c r="C74" s="2" t="s">
        <v>7</v>
      </c>
      <c r="D74" s="2" t="s">
        <v>8</v>
      </c>
      <c r="E74" s="2">
        <f>(7938+3401.99)</f>
        <v>11339.99</v>
      </c>
      <c r="F74" s="7"/>
      <c r="G74" s="3">
        <f>2025</f>
        <v>2025</v>
      </c>
      <c r="H74" s="7">
        <f t="shared" si="6"/>
        <v>13364.99</v>
      </c>
      <c r="I74" s="8"/>
      <c r="J74" s="8"/>
      <c r="K74" s="8"/>
      <c r="L74" s="8"/>
      <c r="M74" s="4"/>
    </row>
    <row r="75" spans="1:15" ht="15" thickBot="1">
      <c r="A75" s="2">
        <v>1994</v>
      </c>
      <c r="B75" s="2" t="s">
        <v>9</v>
      </c>
      <c r="C75" s="2" t="s">
        <v>7</v>
      </c>
      <c r="D75" s="2" t="s">
        <v>8</v>
      </c>
      <c r="E75" s="2">
        <f>(7364.7-1354.5+2575.79)</f>
        <v>8585.99</v>
      </c>
      <c r="F75" s="7"/>
      <c r="G75" s="3">
        <v>1800</v>
      </c>
      <c r="H75" s="7">
        <f t="shared" si="6"/>
        <v>10385.99</v>
      </c>
      <c r="I75" s="8"/>
      <c r="J75" s="8"/>
      <c r="K75" s="8"/>
      <c r="L75" s="8"/>
      <c r="M75" s="4"/>
    </row>
    <row r="76" spans="1:15" ht="15" thickBot="1">
      <c r="A76" s="2">
        <v>1994</v>
      </c>
      <c r="B76" s="2" t="s">
        <v>10</v>
      </c>
      <c r="C76" s="2" t="s">
        <v>7</v>
      </c>
      <c r="D76" s="2" t="s">
        <v>8</v>
      </c>
      <c r="E76" s="2">
        <f>(7364.7+3156.29)</f>
        <v>10520.99</v>
      </c>
      <c r="F76" s="7"/>
      <c r="G76" s="3">
        <v>1800</v>
      </c>
      <c r="H76" s="7">
        <f t="shared" si="6"/>
        <v>12320.99</v>
      </c>
      <c r="I76" s="8"/>
      <c r="J76" s="8"/>
      <c r="K76" s="8"/>
      <c r="L76" s="8"/>
      <c r="M76" s="4"/>
    </row>
    <row r="77" spans="1:15" ht="15" thickBot="1">
      <c r="A77" s="2" t="s">
        <v>24</v>
      </c>
      <c r="B77" s="2"/>
      <c r="C77" s="2"/>
      <c r="D77" s="2" t="s">
        <v>8</v>
      </c>
      <c r="E77" s="29">
        <f>SUM(E65:E76)</f>
        <v>86966.91</v>
      </c>
      <c r="F77" s="29">
        <f>SUM(F65:F76)</f>
        <v>500</v>
      </c>
      <c r="G77" s="33">
        <f>SUM(G65:G76)</f>
        <v>23188.2</v>
      </c>
      <c r="H77" s="7">
        <f>E77+F77+G77</f>
        <v>110655.11</v>
      </c>
      <c r="I77" s="8"/>
      <c r="J77" s="8"/>
      <c r="K77" s="8"/>
      <c r="L77" s="8"/>
      <c r="M77" s="4"/>
    </row>
    <row r="78" spans="1:15" ht="15" thickBot="1">
      <c r="A78" s="17"/>
      <c r="B78" s="17"/>
      <c r="C78" s="17"/>
      <c r="D78" s="17"/>
      <c r="E78" s="8"/>
      <c r="F78" s="8"/>
      <c r="G78" s="8"/>
      <c r="H78" s="35"/>
      <c r="I78" s="8"/>
      <c r="J78" s="8"/>
      <c r="K78" s="8"/>
      <c r="L78" s="8"/>
      <c r="M78" s="4"/>
    </row>
    <row r="79" spans="1:15" ht="19" thickBot="1">
      <c r="A79" s="1" t="s">
        <v>49</v>
      </c>
      <c r="B79" s="58" t="s">
        <v>56</v>
      </c>
      <c r="C79" s="59"/>
      <c r="D79" s="59"/>
      <c r="E79" s="59"/>
      <c r="F79" s="59"/>
      <c r="G79" s="59"/>
      <c r="H79" s="60"/>
      <c r="I79" s="8"/>
    </row>
    <row r="80" spans="1:15" ht="15" thickBot="1">
      <c r="A80" s="2">
        <v>1995</v>
      </c>
      <c r="B80" s="2" t="s">
        <v>12</v>
      </c>
      <c r="C80" s="2" t="s">
        <v>7</v>
      </c>
      <c r="D80" s="2" t="s">
        <v>8</v>
      </c>
      <c r="E80" s="2">
        <f>[1]Feuil3!$E$78</f>
        <v>9620.99</v>
      </c>
      <c r="F80" s="7"/>
      <c r="G80" s="7">
        <v>1260</v>
      </c>
      <c r="H80" s="7">
        <f>SUM(E80:G80)</f>
        <v>10880.99</v>
      </c>
      <c r="I80" s="8"/>
      <c r="J80" s="4"/>
      <c r="K80" s="4"/>
      <c r="L80" s="4"/>
      <c r="M80" s="4"/>
    </row>
    <row r="81" spans="1:16" ht="15" thickBot="1">
      <c r="A81" s="2">
        <v>1995</v>
      </c>
      <c r="B81" s="2" t="s">
        <v>13</v>
      </c>
      <c r="C81" s="2" t="s">
        <v>7</v>
      </c>
      <c r="D81" s="2" t="s">
        <v>8</v>
      </c>
      <c r="E81" s="2">
        <f>[1]Feuil3!$E$79</f>
        <v>10520.99</v>
      </c>
      <c r="F81" s="7"/>
      <c r="G81" s="7"/>
      <c r="H81" s="7">
        <f t="shared" ref="H81:H88" si="7">SUM(E81:G81)</f>
        <v>10520.99</v>
      </c>
      <c r="I81" s="8"/>
      <c r="J81" s="4"/>
      <c r="K81" s="4"/>
      <c r="L81" s="4"/>
      <c r="M81" s="4"/>
    </row>
    <row r="82" spans="1:16" ht="15" thickBot="1">
      <c r="A82" s="2">
        <v>1995</v>
      </c>
      <c r="B82" s="2" t="s">
        <v>14</v>
      </c>
      <c r="C82" s="2" t="s">
        <v>7</v>
      </c>
      <c r="D82" s="2" t="s">
        <v>8</v>
      </c>
      <c r="E82" s="2">
        <f>[1]Feuil3!$E$80</f>
        <v>10160.99</v>
      </c>
      <c r="F82" s="7"/>
      <c r="G82" s="7"/>
      <c r="H82" s="7">
        <f t="shared" si="7"/>
        <v>10160.99</v>
      </c>
      <c r="I82" s="8"/>
      <c r="J82" s="4"/>
      <c r="K82" s="4"/>
      <c r="L82" s="4"/>
      <c r="M82" s="4"/>
    </row>
    <row r="83" spans="1:16" ht="15" thickBot="1">
      <c r="A83" s="2">
        <v>1995</v>
      </c>
      <c r="B83" s="2" t="s">
        <v>15</v>
      </c>
      <c r="C83" s="2" t="s">
        <v>7</v>
      </c>
      <c r="D83" s="2" t="s">
        <v>8</v>
      </c>
      <c r="E83" s="2">
        <f>[1]Feuil3!$E$81</f>
        <v>10520.99</v>
      </c>
      <c r="F83" s="7">
        <v>20</v>
      </c>
      <c r="G83" s="3"/>
      <c r="H83" s="7">
        <f t="shared" si="7"/>
        <v>10540.99</v>
      </c>
      <c r="I83" s="8"/>
      <c r="J83" s="4"/>
      <c r="K83" s="4"/>
      <c r="L83" s="4"/>
      <c r="M83" s="4"/>
    </row>
    <row r="84" spans="1:16" ht="15" thickBot="1">
      <c r="A84" s="2">
        <v>1995</v>
      </c>
      <c r="B84" s="2" t="s">
        <v>16</v>
      </c>
      <c r="C84" s="2" t="s">
        <v>7</v>
      </c>
      <c r="D84" s="2" t="s">
        <v>8</v>
      </c>
      <c r="E84" s="2">
        <f>[1]Feuil3!$E$82</f>
        <v>10520.99</v>
      </c>
      <c r="F84" s="7">
        <v>130</v>
      </c>
      <c r="G84" s="3"/>
      <c r="H84" s="7">
        <f t="shared" si="7"/>
        <v>10650.99</v>
      </c>
      <c r="I84" s="8"/>
      <c r="J84" s="4"/>
      <c r="K84" s="4"/>
      <c r="L84" s="4"/>
      <c r="M84" s="4"/>
    </row>
    <row r="85" spans="1:16" ht="15" thickBot="1">
      <c r="A85" s="2">
        <v>1995</v>
      </c>
      <c r="B85" s="2" t="s">
        <v>17</v>
      </c>
      <c r="C85" s="2" t="s">
        <v>7</v>
      </c>
      <c r="D85" s="2" t="s">
        <v>8</v>
      </c>
      <c r="E85" s="2">
        <f>[1]Feuil3!$E$83</f>
        <v>5259.59</v>
      </c>
      <c r="F85" s="7"/>
      <c r="G85" s="3"/>
      <c r="H85" s="7">
        <f t="shared" si="7"/>
        <v>5259.59</v>
      </c>
      <c r="I85" s="8"/>
      <c r="J85" s="8"/>
      <c r="K85" s="8"/>
      <c r="L85" s="8"/>
      <c r="M85" s="8"/>
      <c r="O85" s="10"/>
    </row>
    <row r="86" spans="1:16" ht="15" thickBot="1">
      <c r="A86" s="2">
        <v>1995</v>
      </c>
      <c r="B86" s="2" t="s">
        <v>18</v>
      </c>
      <c r="C86" s="2" t="s">
        <v>7</v>
      </c>
      <c r="D86" s="2" t="s">
        <v>8</v>
      </c>
      <c r="E86" s="2">
        <f>[1]Feuil3!$E$84</f>
        <v>4755.59</v>
      </c>
      <c r="F86" s="7"/>
      <c r="G86" s="3"/>
      <c r="H86" s="7">
        <f t="shared" si="7"/>
        <v>4755.59</v>
      </c>
      <c r="I86" s="8"/>
      <c r="J86" s="4"/>
      <c r="K86" s="4"/>
      <c r="L86" s="4"/>
      <c r="M86" s="4"/>
    </row>
    <row r="87" spans="1:16" ht="11.25" customHeight="1" thickBot="1">
      <c r="A87" s="2"/>
      <c r="B87" s="2"/>
      <c r="C87" s="2"/>
      <c r="D87" s="6"/>
      <c r="E87" s="8"/>
      <c r="F87" s="8"/>
      <c r="G87" s="8"/>
      <c r="H87" s="7"/>
      <c r="I87" s="8"/>
      <c r="J87" s="8"/>
      <c r="K87" s="8"/>
      <c r="L87" s="4"/>
      <c r="M87" s="4"/>
      <c r="N87" s="4"/>
      <c r="O87" s="4"/>
      <c r="P87" s="10"/>
    </row>
    <row r="88" spans="1:16" ht="15.5" thickTop="1" thickBot="1">
      <c r="A88" s="2" t="s">
        <v>25</v>
      </c>
      <c r="B88" s="2"/>
      <c r="C88" s="2"/>
      <c r="D88" s="2" t="s">
        <v>8</v>
      </c>
      <c r="E88" s="28">
        <f>SUM(E80:E87)</f>
        <v>61360.12999999999</v>
      </c>
      <c r="F88" s="28">
        <f>SUM(F83:F87)</f>
        <v>150</v>
      </c>
      <c r="G88" s="28">
        <f>SUM(G80:G87)</f>
        <v>1260</v>
      </c>
      <c r="H88" s="7">
        <f t="shared" si="7"/>
        <v>62770.12999999999</v>
      </c>
      <c r="I88" s="8"/>
      <c r="J88" s="8"/>
      <c r="K88" s="8"/>
      <c r="L88" s="8"/>
      <c r="M88" s="8"/>
      <c r="N88" s="8"/>
      <c r="O88" s="8"/>
    </row>
    <row r="89" spans="1:16">
      <c r="A89" s="9"/>
      <c r="B89" s="9"/>
      <c r="C89" s="9"/>
      <c r="D89" s="9"/>
      <c r="E89" s="8"/>
      <c r="F89" s="8"/>
      <c r="G89" s="8"/>
      <c r="H89" s="11"/>
      <c r="I89" s="11"/>
      <c r="J89" s="11"/>
      <c r="P89" s="10"/>
    </row>
    <row r="90" spans="1:16" ht="15" thickBot="1">
      <c r="A90" s="17"/>
      <c r="B90" s="17"/>
      <c r="C90" s="17"/>
      <c r="D90" s="17"/>
      <c r="E90" s="26"/>
      <c r="F90" s="26"/>
      <c r="G90" s="26"/>
      <c r="H90" s="26"/>
      <c r="I90" s="9"/>
      <c r="J90" s="11"/>
      <c r="P90" s="10"/>
    </row>
    <row r="91" spans="1:16" ht="21.5" thickBot="1">
      <c r="A91" s="55" t="s">
        <v>50</v>
      </c>
      <c r="B91" s="56"/>
      <c r="C91" s="56"/>
      <c r="D91" s="56"/>
      <c r="E91" s="56"/>
      <c r="F91" s="56"/>
      <c r="G91" s="56"/>
      <c r="H91" s="57"/>
      <c r="I91" s="9"/>
      <c r="J91" s="11"/>
      <c r="P91" s="10"/>
    </row>
    <row r="92" spans="1:16" ht="15" thickBot="1">
      <c r="A92" s="9"/>
      <c r="B92" s="9"/>
      <c r="C92" s="9"/>
      <c r="D92" s="9"/>
      <c r="E92" s="9"/>
      <c r="F92" s="9"/>
      <c r="G92" s="11"/>
      <c r="H92" s="11"/>
      <c r="I92" s="9"/>
      <c r="J92" s="11"/>
      <c r="P92" s="10"/>
    </row>
    <row r="93" spans="1:16" ht="29.25" customHeight="1" thickTop="1" thickBot="1">
      <c r="A93" s="12"/>
      <c r="B93" s="13">
        <v>1990</v>
      </c>
      <c r="C93" s="13">
        <v>1991</v>
      </c>
      <c r="D93" s="13">
        <v>1992</v>
      </c>
      <c r="E93" s="13">
        <v>1993</v>
      </c>
      <c r="F93" s="13">
        <v>1994</v>
      </c>
      <c r="G93" s="13">
        <v>1995</v>
      </c>
      <c r="H93" s="24" t="s">
        <v>42</v>
      </c>
      <c r="I93" s="16"/>
      <c r="P93" s="10"/>
    </row>
    <row r="94" spans="1:16" ht="15.5" thickTop="1" thickBot="1">
      <c r="A94" s="12" t="s">
        <v>27</v>
      </c>
      <c r="B94" s="14">
        <f>E8</f>
        <v>31770</v>
      </c>
      <c r="C94" s="14">
        <f>E23</f>
        <v>100260</v>
      </c>
      <c r="D94" s="14">
        <f>E38</f>
        <v>93330</v>
      </c>
      <c r="E94" s="14">
        <f>E62</f>
        <v>84150</v>
      </c>
      <c r="F94" s="14">
        <f>E77</f>
        <v>86966.91</v>
      </c>
      <c r="G94" s="3">
        <f>E88</f>
        <v>61360.12999999999</v>
      </c>
      <c r="H94" s="7">
        <f>SUM(B94:G94)</f>
        <v>457837.04000000004</v>
      </c>
      <c r="I94" s="16"/>
    </row>
    <row r="95" spans="1:16" ht="15.5" thickTop="1" thickBot="1">
      <c r="A95" s="12" t="s">
        <v>28</v>
      </c>
      <c r="B95" s="14">
        <f>F8</f>
        <v>30</v>
      </c>
      <c r="C95" s="14">
        <f>F23</f>
        <v>580</v>
      </c>
      <c r="D95" s="14">
        <f>F38</f>
        <v>730</v>
      </c>
      <c r="E95" s="12">
        <f>F62</f>
        <v>2280</v>
      </c>
      <c r="F95" s="14">
        <f>F77</f>
        <v>500</v>
      </c>
      <c r="G95" s="14">
        <f>F88</f>
        <v>150</v>
      </c>
      <c r="H95" s="7">
        <f>SUM(B95:G95)</f>
        <v>4270</v>
      </c>
      <c r="I95" s="16"/>
      <c r="J95" s="10"/>
    </row>
    <row r="96" spans="1:16" ht="15.5" thickTop="1" thickBot="1">
      <c r="A96" s="12" t="s">
        <v>36</v>
      </c>
      <c r="B96" s="14">
        <f>G8</f>
        <v>120</v>
      </c>
      <c r="C96" s="14">
        <f>G23</f>
        <v>1000</v>
      </c>
      <c r="D96" s="14">
        <f>G38</f>
        <v>330</v>
      </c>
      <c r="E96" s="14">
        <f>G62</f>
        <v>3990</v>
      </c>
      <c r="F96" s="14">
        <f>G77</f>
        <v>23188.2</v>
      </c>
      <c r="G96" s="14">
        <f>G88</f>
        <v>1260</v>
      </c>
      <c r="H96" s="7">
        <f>SUM(B96:G96)</f>
        <v>29888.2</v>
      </c>
      <c r="I96" s="16"/>
    </row>
    <row r="97" spans="1:16" ht="15.5" thickTop="1" thickBot="1">
      <c r="A97" s="12" t="s">
        <v>29</v>
      </c>
      <c r="B97" s="14">
        <f>SUM(B94:B96)</f>
        <v>31920</v>
      </c>
      <c r="C97" s="14">
        <f t="shared" ref="C97:G97" si="8">SUM(C94:C96)</f>
        <v>101840</v>
      </c>
      <c r="D97" s="14">
        <f t="shared" si="8"/>
        <v>94390</v>
      </c>
      <c r="E97" s="14">
        <f t="shared" si="8"/>
        <v>90420</v>
      </c>
      <c r="F97" s="14">
        <f t="shared" si="8"/>
        <v>110655.11</v>
      </c>
      <c r="G97" s="14">
        <f t="shared" si="8"/>
        <v>62770.12999999999</v>
      </c>
      <c r="H97" s="16">
        <f>SUM(H94:H96)</f>
        <v>491995.24000000005</v>
      </c>
      <c r="I97" s="16"/>
      <c r="J97" s="10"/>
      <c r="K97" s="10"/>
      <c r="L97" s="10"/>
      <c r="M97" s="10"/>
      <c r="N97" s="10"/>
    </row>
    <row r="98" spans="1:16" ht="15.5" thickTop="1" thickBot="1">
      <c r="A98" s="32" t="s">
        <v>37</v>
      </c>
      <c r="B98" s="14">
        <f>B97-75.51</f>
        <v>31844.49</v>
      </c>
      <c r="C98" s="14">
        <f>C97</f>
        <v>101840</v>
      </c>
      <c r="D98" s="14">
        <f>D97</f>
        <v>94390</v>
      </c>
      <c r="E98" s="14">
        <f>E97</f>
        <v>90420</v>
      </c>
      <c r="F98" s="14">
        <f>F97</f>
        <v>110655.11</v>
      </c>
      <c r="G98" s="14">
        <f>G97</f>
        <v>62770.12999999999</v>
      </c>
      <c r="H98" s="27">
        <v>492054.4</v>
      </c>
      <c r="J98" s="15"/>
      <c r="K98" s="10"/>
      <c r="L98" s="10"/>
      <c r="M98" s="10"/>
      <c r="N98" s="10"/>
    </row>
    <row r="99" spans="1:16" ht="16.5" thickTop="1" thickBot="1">
      <c r="A99" s="19" t="s">
        <v>30</v>
      </c>
      <c r="B99" s="31">
        <f>B98*30/70</f>
        <v>13647.638571428572</v>
      </c>
      <c r="C99" s="31">
        <f t="shared" ref="C99:G99" si="9">C98*30/70</f>
        <v>43645.714285714283</v>
      </c>
      <c r="D99" s="31">
        <f t="shared" si="9"/>
        <v>40452.857142857145</v>
      </c>
      <c r="E99" s="31">
        <f t="shared" si="9"/>
        <v>38751.428571428572</v>
      </c>
      <c r="F99" s="31">
        <f t="shared" si="9"/>
        <v>47423.618571428568</v>
      </c>
      <c r="G99" s="31">
        <f t="shared" si="9"/>
        <v>26901.484285714279</v>
      </c>
      <c r="H99" s="25">
        <f>H98*30/70</f>
        <v>210880.45714285714</v>
      </c>
      <c r="I99" s="10"/>
      <c r="J99" s="20"/>
      <c r="K99" s="10"/>
      <c r="P99" s="10"/>
    </row>
    <row r="100" spans="1:16" ht="16.5" thickTop="1" thickBot="1">
      <c r="A100" s="19" t="s">
        <v>31</v>
      </c>
      <c r="B100" s="31">
        <f>B99*10%</f>
        <v>1364.7638571428572</v>
      </c>
      <c r="C100" s="31">
        <f t="shared" ref="C100:G100" si="10">C99*10%</f>
        <v>4364.5714285714284</v>
      </c>
      <c r="D100" s="31">
        <f t="shared" si="10"/>
        <v>4045.2857142857147</v>
      </c>
      <c r="E100" s="31">
        <f t="shared" si="10"/>
        <v>3875.1428571428573</v>
      </c>
      <c r="F100" s="31">
        <f t="shared" si="10"/>
        <v>4742.3618571428569</v>
      </c>
      <c r="G100" s="31">
        <f t="shared" si="10"/>
        <v>2690.1484285714282</v>
      </c>
      <c r="H100" s="25">
        <f>H99*10%</f>
        <v>21088.045714285716</v>
      </c>
      <c r="J100" s="20"/>
    </row>
    <row r="101" spans="1:16" ht="16.5" thickTop="1" thickBot="1">
      <c r="A101" s="19" t="s">
        <v>32</v>
      </c>
      <c r="B101" s="31">
        <f>B99*2%</f>
        <v>272.95277142857145</v>
      </c>
      <c r="C101" s="31">
        <f t="shared" ref="C101:G101" si="11">C99*2%</f>
        <v>872.91428571428571</v>
      </c>
      <c r="D101" s="31">
        <f t="shared" si="11"/>
        <v>809.05714285714294</v>
      </c>
      <c r="E101" s="31">
        <f t="shared" si="11"/>
        <v>775.02857142857147</v>
      </c>
      <c r="F101" s="31">
        <f t="shared" si="11"/>
        <v>948.47237142857136</v>
      </c>
      <c r="G101" s="31">
        <f t="shared" si="11"/>
        <v>538.02968571428562</v>
      </c>
      <c r="H101" s="25">
        <f>H99*2%</f>
        <v>4217.6091428571426</v>
      </c>
      <c r="J101" s="20"/>
      <c r="L101" s="10"/>
    </row>
    <row r="102" spans="1:16" ht="16" thickTop="1">
      <c r="A102" s="21"/>
      <c r="B102" s="21"/>
      <c r="C102" s="21"/>
      <c r="D102" s="21"/>
      <c r="E102" s="21"/>
      <c r="F102" s="21"/>
      <c r="G102" s="22"/>
      <c r="H102" s="21"/>
      <c r="J102" s="18"/>
    </row>
    <row r="103" spans="1:16" ht="15.5">
      <c r="A103" s="34" t="s">
        <v>38</v>
      </c>
    </row>
    <row r="104" spans="1:16" ht="15.5">
      <c r="A104" s="34" t="s">
        <v>40</v>
      </c>
    </row>
    <row r="105" spans="1:16" ht="15.5">
      <c r="A105" s="34" t="s">
        <v>39</v>
      </c>
      <c r="D105" s="10"/>
    </row>
    <row r="106" spans="1:16" ht="15.5">
      <c r="A106" s="34" t="s">
        <v>41</v>
      </c>
    </row>
  </sheetData>
  <mergeCells count="9">
    <mergeCell ref="A1:H1"/>
    <mergeCell ref="A91:H91"/>
    <mergeCell ref="B48:H48"/>
    <mergeCell ref="B25:H25"/>
    <mergeCell ref="B24:H24"/>
    <mergeCell ref="B10:H10"/>
    <mergeCell ref="B3:H3"/>
    <mergeCell ref="B64:H64"/>
    <mergeCell ref="B79:H79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93"/>
  <sheetViews>
    <sheetView workbookViewId="0">
      <selection sqref="A1:XFD1048576"/>
    </sheetView>
  </sheetViews>
  <sheetFormatPr baseColWidth="10" defaultRowHeight="14.5"/>
  <cols>
    <col min="1" max="1" width="15.90625" style="4" customWidth="1"/>
    <col min="2" max="2" width="10.453125" style="4" customWidth="1"/>
    <col min="3" max="3" width="10.26953125" style="4" bestFit="1" customWidth="1"/>
    <col min="4" max="4" width="9" style="4" bestFit="1" customWidth="1"/>
    <col min="5" max="5" width="11.6328125" style="4" bestFit="1" customWidth="1"/>
    <col min="6" max="6" width="9.6328125" style="4" bestFit="1" customWidth="1"/>
    <col min="7" max="7" width="11.26953125" style="4" customWidth="1"/>
    <col min="8" max="8" width="10.08984375" style="4" bestFit="1" customWidth="1"/>
    <col min="9" max="9" width="11.54296875" style="4" bestFit="1" customWidth="1"/>
    <col min="10" max="10" width="14.453125" style="4" bestFit="1" customWidth="1"/>
    <col min="11" max="17" width="10.90625" style="4"/>
    <col min="18" max="18" width="17.1796875" style="4" bestFit="1" customWidth="1"/>
    <col min="19" max="20" width="14.81640625" style="4" bestFit="1" customWidth="1"/>
    <col min="21" max="16384" width="10.90625" style="4"/>
  </cols>
  <sheetData>
    <row r="1" ht="30" customHeight="1"/>
    <row r="2" ht="30" customHeight="1"/>
    <row r="3" ht="30" customHeight="1"/>
    <row r="4" ht="30" customHeight="1"/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7" ht="11.25" customHeight="1"/>
    <row r="93" ht="29.25" customHeight="1"/>
  </sheetData>
  <pageMargins left="0.31496062992125984" right="0.39370078740157483" top="0" bottom="0.74803149606299213" header="0.31496062992125984" footer="0.31496062992125984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USER</cp:lastModifiedBy>
  <cp:lastPrinted>2024-11-13T16:41:32Z</cp:lastPrinted>
  <dcterms:created xsi:type="dcterms:W3CDTF">2023-06-27T11:42:32Z</dcterms:created>
  <dcterms:modified xsi:type="dcterms:W3CDTF">2024-11-13T16:42:25Z</dcterms:modified>
</cp:coreProperties>
</file>