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70" yWindow="550" windowWidth="18640" windowHeight="6740" firstSheet="7" activeTab="8"/>
  </bookViews>
  <sheets>
    <sheet name="Calcul Complet 1990-1996" sheetId="1" r:id="rId1"/>
    <sheet name="CNAV CORRIGE" sheetId="3" r:id="rId2"/>
    <sheet name="25 Meilleures Années" sheetId="2" r:id="rId3"/>
    <sheet name="CORRIGE+BULLEIN2 DE 1996" sheetId="4" r:id="rId4"/>
    <sheet name="25années avec Bulletin2 de 1996" sheetId="5" r:id="rId5"/>
    <sheet name="CNAV CORR SANS PLAFOND 1 BULL96" sheetId="6" r:id="rId6"/>
    <sheet name="25 ANNEEES SANS PALF 1 BULL 96" sheetId="8" r:id="rId7"/>
    <sheet name="CNA CORR SAN PLAFOND 2 BULL 96" sheetId="7" r:id="rId8"/>
    <sheet name="25 ANN SAN PLAF 2 BULL 96" sheetId="9" r:id="rId9"/>
    <sheet name="Feuil7" sheetId="10" r:id="rId10"/>
  </sheets>
  <calcPr calcId="124519"/>
</workbook>
</file>

<file path=xl/calcChain.xml><?xml version="1.0" encoding="utf-8"?>
<calcChain xmlns="http://schemas.openxmlformats.org/spreadsheetml/2006/main">
  <c r="B6" i="9"/>
  <c r="C41" i="7"/>
  <c r="B8" i="9" l="1"/>
  <c r="F48" i="6" l="1"/>
  <c r="F47"/>
  <c r="F49"/>
  <c r="B7" i="8" s="1"/>
  <c r="E7" s="1"/>
  <c r="B7" i="9"/>
  <c r="E7" s="1"/>
  <c r="G26"/>
  <c r="I26" s="1"/>
  <c r="E26"/>
  <c r="G25"/>
  <c r="I25" s="1"/>
  <c r="E25"/>
  <c r="E24"/>
  <c r="G24" s="1"/>
  <c r="I24" s="1"/>
  <c r="I23"/>
  <c r="G23"/>
  <c r="E23"/>
  <c r="I22"/>
  <c r="G22"/>
  <c r="E22"/>
  <c r="E21"/>
  <c r="G21" s="1"/>
  <c r="I21" s="1"/>
  <c r="E20"/>
  <c r="I20" s="1"/>
  <c r="E19"/>
  <c r="G19" s="1"/>
  <c r="I19" s="1"/>
  <c r="I18"/>
  <c r="G18"/>
  <c r="E18"/>
  <c r="G17"/>
  <c r="I17" s="1"/>
  <c r="E17"/>
  <c r="E16"/>
  <c r="G16" s="1"/>
  <c r="I16" s="1"/>
  <c r="E15"/>
  <c r="G15" s="1"/>
  <c r="I15" s="1"/>
  <c r="I14"/>
  <c r="G14"/>
  <c r="E14"/>
  <c r="E13"/>
  <c r="G13" s="1"/>
  <c r="I13" s="1"/>
  <c r="E12"/>
  <c r="G12" s="1"/>
  <c r="I12" s="1"/>
  <c r="E11"/>
  <c r="G11" s="1"/>
  <c r="I11" s="1"/>
  <c r="E10"/>
  <c r="G10" s="1"/>
  <c r="I10" s="1"/>
  <c r="E9"/>
  <c r="G9" s="1"/>
  <c r="I9" s="1"/>
  <c r="J9" s="1"/>
  <c r="B9"/>
  <c r="K8"/>
  <c r="E8"/>
  <c r="G8" s="1"/>
  <c r="I8" s="1"/>
  <c r="J8" s="1"/>
  <c r="K7"/>
  <c r="K10" s="1"/>
  <c r="J7"/>
  <c r="I7"/>
  <c r="I6"/>
  <c r="J6" s="1"/>
  <c r="K11" s="1"/>
  <c r="E6"/>
  <c r="J5"/>
  <c r="I5"/>
  <c r="B5"/>
  <c r="E5" s="1"/>
  <c r="J4"/>
  <c r="I4"/>
  <c r="B4"/>
  <c r="E4" s="1"/>
  <c r="J3"/>
  <c r="I3"/>
  <c r="B3"/>
  <c r="E3" s="1"/>
  <c r="I2"/>
  <c r="J2" s="1"/>
  <c r="B2"/>
  <c r="E2" s="1"/>
  <c r="F51" i="7"/>
  <c r="F50"/>
  <c r="F49"/>
  <c r="D14" i="6"/>
  <c r="D9"/>
  <c r="D8"/>
  <c r="B6" i="8"/>
  <c r="E6" s="1"/>
  <c r="B5"/>
  <c r="E5" s="1"/>
  <c r="B4"/>
  <c r="E4" s="1"/>
  <c r="B3"/>
  <c r="E3" s="1"/>
  <c r="E26"/>
  <c r="G26" s="1"/>
  <c r="I26" s="1"/>
  <c r="E25"/>
  <c r="G25" s="1"/>
  <c r="I25" s="1"/>
  <c r="E24"/>
  <c r="G24" s="1"/>
  <c r="I24" s="1"/>
  <c r="E23"/>
  <c r="G23" s="1"/>
  <c r="I23" s="1"/>
  <c r="G22"/>
  <c r="I22" s="1"/>
  <c r="E22"/>
  <c r="E21"/>
  <c r="G21" s="1"/>
  <c r="I21" s="1"/>
  <c r="E20"/>
  <c r="I20" s="1"/>
  <c r="E19"/>
  <c r="G19" s="1"/>
  <c r="I19" s="1"/>
  <c r="E18"/>
  <c r="G18" s="1"/>
  <c r="I18" s="1"/>
  <c r="E17"/>
  <c r="G17" s="1"/>
  <c r="I17" s="1"/>
  <c r="G16"/>
  <c r="I16" s="1"/>
  <c r="E16"/>
  <c r="E15"/>
  <c r="G15" s="1"/>
  <c r="I15" s="1"/>
  <c r="G14"/>
  <c r="I14" s="1"/>
  <c r="E14"/>
  <c r="E13"/>
  <c r="G13" s="1"/>
  <c r="I13" s="1"/>
  <c r="E12"/>
  <c r="G12" s="1"/>
  <c r="I12" s="1"/>
  <c r="G11"/>
  <c r="I11" s="1"/>
  <c r="E11"/>
  <c r="G10"/>
  <c r="I10" s="1"/>
  <c r="E10"/>
  <c r="B9"/>
  <c r="E9" s="1"/>
  <c r="G9" s="1"/>
  <c r="I9" s="1"/>
  <c r="J9" s="1"/>
  <c r="K8"/>
  <c r="B8"/>
  <c r="E8" s="1"/>
  <c r="G8" s="1"/>
  <c r="K7"/>
  <c r="K10" s="1"/>
  <c r="I7"/>
  <c r="J7" s="1"/>
  <c r="J6"/>
  <c r="I6"/>
  <c r="I5"/>
  <c r="J5" s="1"/>
  <c r="J4"/>
  <c r="I4"/>
  <c r="I3"/>
  <c r="J3" s="1"/>
  <c r="J2"/>
  <c r="I2"/>
  <c r="D49" i="6"/>
  <c r="C49"/>
  <c r="D50" i="7"/>
  <c r="C49"/>
  <c r="C51" s="1"/>
  <c r="D48"/>
  <c r="D47"/>
  <c r="D49" s="1"/>
  <c r="D51" s="1"/>
  <c r="F43"/>
  <c r="D43"/>
  <c r="F42"/>
  <c r="D42"/>
  <c r="D40"/>
  <c r="C39"/>
  <c r="C44" s="1"/>
  <c r="D38"/>
  <c r="D37"/>
  <c r="C34"/>
  <c r="F33"/>
  <c r="D33"/>
  <c r="D32"/>
  <c r="F32" s="1"/>
  <c r="C31"/>
  <c r="D30"/>
  <c r="D29"/>
  <c r="D31" s="1"/>
  <c r="C26"/>
  <c r="F25"/>
  <c r="D25"/>
  <c r="D24"/>
  <c r="F24" s="1"/>
  <c r="C23"/>
  <c r="D22"/>
  <c r="D21"/>
  <c r="D23" s="1"/>
  <c r="C18"/>
  <c r="F17"/>
  <c r="D17"/>
  <c r="D16"/>
  <c r="F16" s="1"/>
  <c r="C15"/>
  <c r="D14"/>
  <c r="D13"/>
  <c r="D15" s="1"/>
  <c r="F10"/>
  <c r="D10"/>
  <c r="C10"/>
  <c r="F5"/>
  <c r="D5"/>
  <c r="C5"/>
  <c r="F4"/>
  <c r="F3"/>
  <c r="I44" i="4"/>
  <c r="C44"/>
  <c r="D44"/>
  <c r="G43"/>
  <c r="I43" s="1"/>
  <c r="G42"/>
  <c r="D43"/>
  <c r="D43" i="6"/>
  <c r="F43" s="1"/>
  <c r="D25"/>
  <c r="F25" s="1"/>
  <c r="C23"/>
  <c r="C26" s="1"/>
  <c r="D22"/>
  <c r="D21"/>
  <c r="D17"/>
  <c r="F17" s="1"/>
  <c r="D16"/>
  <c r="F16" s="1"/>
  <c r="D13"/>
  <c r="F4"/>
  <c r="F3"/>
  <c r="D48"/>
  <c r="D42"/>
  <c r="F42" s="1"/>
  <c r="D40"/>
  <c r="C39"/>
  <c r="C41" s="1"/>
  <c r="C44" s="1"/>
  <c r="D38"/>
  <c r="D37"/>
  <c r="D33"/>
  <c r="F33" s="1"/>
  <c r="D32"/>
  <c r="F32" s="1"/>
  <c r="C31"/>
  <c r="C34" s="1"/>
  <c r="D30"/>
  <c r="D29"/>
  <c r="D24"/>
  <c r="F24" s="1"/>
  <c r="C15"/>
  <c r="C18" s="1"/>
  <c r="C10"/>
  <c r="D5"/>
  <c r="F5" s="1"/>
  <c r="C5"/>
  <c r="K8" i="5"/>
  <c r="K7"/>
  <c r="K10" s="1"/>
  <c r="B7"/>
  <c r="E7" s="1"/>
  <c r="E26"/>
  <c r="G26" s="1"/>
  <c r="I26" s="1"/>
  <c r="E25"/>
  <c r="G25" s="1"/>
  <c r="I25" s="1"/>
  <c r="E24"/>
  <c r="G24" s="1"/>
  <c r="I24" s="1"/>
  <c r="G23"/>
  <c r="I23" s="1"/>
  <c r="E23"/>
  <c r="E22"/>
  <c r="G22" s="1"/>
  <c r="I22" s="1"/>
  <c r="E21"/>
  <c r="G21" s="1"/>
  <c r="I21" s="1"/>
  <c r="E20"/>
  <c r="I20" s="1"/>
  <c r="G19"/>
  <c r="I19" s="1"/>
  <c r="E19"/>
  <c r="E18"/>
  <c r="G18" s="1"/>
  <c r="I18" s="1"/>
  <c r="E17"/>
  <c r="G17" s="1"/>
  <c r="I17" s="1"/>
  <c r="E16"/>
  <c r="G16" s="1"/>
  <c r="I16" s="1"/>
  <c r="G15"/>
  <c r="I15" s="1"/>
  <c r="E15"/>
  <c r="E14"/>
  <c r="G14" s="1"/>
  <c r="I14" s="1"/>
  <c r="E13"/>
  <c r="G13" s="1"/>
  <c r="I13" s="1"/>
  <c r="E12"/>
  <c r="G12" s="1"/>
  <c r="I12" s="1"/>
  <c r="G11"/>
  <c r="I11" s="1"/>
  <c r="E11"/>
  <c r="E10"/>
  <c r="G10" s="1"/>
  <c r="I10" s="1"/>
  <c r="B9"/>
  <c r="E9" s="1"/>
  <c r="G9" s="1"/>
  <c r="B8"/>
  <c r="E8" s="1"/>
  <c r="G8" s="1"/>
  <c r="I7"/>
  <c r="J7" s="1"/>
  <c r="I6"/>
  <c r="J6" s="1"/>
  <c r="K11" s="1"/>
  <c r="B6"/>
  <c r="E6" s="1"/>
  <c r="I5"/>
  <c r="J5" s="1"/>
  <c r="B5"/>
  <c r="E5" s="1"/>
  <c r="I4"/>
  <c r="J4" s="1"/>
  <c r="B4"/>
  <c r="E4" s="1"/>
  <c r="I3"/>
  <c r="J3" s="1"/>
  <c r="B3"/>
  <c r="E3" s="1"/>
  <c r="I2"/>
  <c r="J2" s="1"/>
  <c r="B2"/>
  <c r="E2" s="1"/>
  <c r="I51" i="4"/>
  <c r="I49"/>
  <c r="D48"/>
  <c r="D50"/>
  <c r="G50" s="1"/>
  <c r="I50" s="1"/>
  <c r="D47"/>
  <c r="D49" s="1"/>
  <c r="D51" s="1"/>
  <c r="D42"/>
  <c r="I41"/>
  <c r="D40"/>
  <c r="C39"/>
  <c r="D39" s="1"/>
  <c r="D41" s="1"/>
  <c r="D38"/>
  <c r="D37"/>
  <c r="C35"/>
  <c r="C34"/>
  <c r="D33"/>
  <c r="G33" s="1"/>
  <c r="I33" s="1"/>
  <c r="I32"/>
  <c r="G32"/>
  <c r="D32"/>
  <c r="G31"/>
  <c r="I31" s="1"/>
  <c r="I34" s="1"/>
  <c r="C31"/>
  <c r="D30"/>
  <c r="D29"/>
  <c r="D31" s="1"/>
  <c r="D34" s="1"/>
  <c r="I25"/>
  <c r="D24"/>
  <c r="G24" s="1"/>
  <c r="I24" s="1"/>
  <c r="I23"/>
  <c r="G23"/>
  <c r="G26" s="1"/>
  <c r="I26" s="1"/>
  <c r="D23"/>
  <c r="D26" s="1"/>
  <c r="C23"/>
  <c r="C26" s="1"/>
  <c r="I18"/>
  <c r="G18"/>
  <c r="D15"/>
  <c r="C15"/>
  <c r="C18" s="1"/>
  <c r="E14"/>
  <c r="E15" s="1"/>
  <c r="E16" s="1"/>
  <c r="E17" s="1"/>
  <c r="E13"/>
  <c r="D10"/>
  <c r="C10"/>
  <c r="E9"/>
  <c r="G10" s="1"/>
  <c r="I10" s="1"/>
  <c r="I5"/>
  <c r="G5"/>
  <c r="D5"/>
  <c r="C5"/>
  <c r="E4"/>
  <c r="E5" s="1"/>
  <c r="D47" i="3"/>
  <c r="I48"/>
  <c r="I10"/>
  <c r="B2" i="2" s="1"/>
  <c r="E2" s="1"/>
  <c r="I3"/>
  <c r="J3" s="1"/>
  <c r="I4"/>
  <c r="J4" s="1"/>
  <c r="I5"/>
  <c r="J5" s="1"/>
  <c r="I6"/>
  <c r="J6" s="1"/>
  <c r="I7"/>
  <c r="J7" s="1"/>
  <c r="I2"/>
  <c r="J2" s="1"/>
  <c r="C35" i="3"/>
  <c r="B9" i="2"/>
  <c r="E9" s="1"/>
  <c r="G9" s="1"/>
  <c r="I9" s="1"/>
  <c r="J9" s="1"/>
  <c r="B8"/>
  <c r="E8" s="1"/>
  <c r="G8" s="1"/>
  <c r="I8" s="1"/>
  <c r="J8" s="1"/>
  <c r="E10"/>
  <c r="G10" s="1"/>
  <c r="I10" s="1"/>
  <c r="E11"/>
  <c r="G11" s="1"/>
  <c r="I11" s="1"/>
  <c r="E12"/>
  <c r="G12" s="1"/>
  <c r="I12" s="1"/>
  <c r="E13"/>
  <c r="G13" s="1"/>
  <c r="I13" s="1"/>
  <c r="E14"/>
  <c r="G14" s="1"/>
  <c r="I14" s="1"/>
  <c r="E15"/>
  <c r="G15" s="1"/>
  <c r="I15" s="1"/>
  <c r="E16"/>
  <c r="G16" s="1"/>
  <c r="I16" s="1"/>
  <c r="E17"/>
  <c r="G17" s="1"/>
  <c r="I17" s="1"/>
  <c r="E18"/>
  <c r="G18" s="1"/>
  <c r="I18" s="1"/>
  <c r="E19"/>
  <c r="G19" s="1"/>
  <c r="I19" s="1"/>
  <c r="E20"/>
  <c r="I20" s="1"/>
  <c r="E21"/>
  <c r="G21" s="1"/>
  <c r="I21" s="1"/>
  <c r="E22"/>
  <c r="G22" s="1"/>
  <c r="I22" s="1"/>
  <c r="E23"/>
  <c r="G23" s="1"/>
  <c r="I23" s="1"/>
  <c r="E24"/>
  <c r="G24" s="1"/>
  <c r="I24" s="1"/>
  <c r="E25"/>
  <c r="G25" s="1"/>
  <c r="I25" s="1"/>
  <c r="E26"/>
  <c r="G26" s="1"/>
  <c r="I26" s="1"/>
  <c r="B5"/>
  <c r="E5" s="1"/>
  <c r="B4"/>
  <c r="E4" s="1"/>
  <c r="B3"/>
  <c r="E3" s="1"/>
  <c r="G48" i="3"/>
  <c r="I43"/>
  <c r="I42"/>
  <c r="I41"/>
  <c r="G44"/>
  <c r="D41"/>
  <c r="D39"/>
  <c r="D38"/>
  <c r="D42"/>
  <c r="C44"/>
  <c r="C41"/>
  <c r="C39"/>
  <c r="G31"/>
  <c r="D33"/>
  <c r="G33" s="1"/>
  <c r="I33" s="1"/>
  <c r="D32"/>
  <c r="G32" s="1"/>
  <c r="I32" s="1"/>
  <c r="D30"/>
  <c r="D29"/>
  <c r="C31"/>
  <c r="C34" s="1"/>
  <c r="I25"/>
  <c r="D24"/>
  <c r="G24" s="1"/>
  <c r="I18"/>
  <c r="G18"/>
  <c r="G23"/>
  <c r="I23" s="1"/>
  <c r="D23"/>
  <c r="C23"/>
  <c r="C26" s="1"/>
  <c r="D15"/>
  <c r="C15"/>
  <c r="C18" s="1"/>
  <c r="D10"/>
  <c r="C10"/>
  <c r="D5"/>
  <c r="C5"/>
  <c r="I5"/>
  <c r="E13"/>
  <c r="E14" s="1"/>
  <c r="E15" s="1"/>
  <c r="E16" s="1"/>
  <c r="E17" s="1"/>
  <c r="E9"/>
  <c r="G10" s="1"/>
  <c r="E4"/>
  <c r="E5" s="1"/>
  <c r="G5"/>
  <c r="D48"/>
  <c r="D40"/>
  <c r="D37"/>
  <c r="I44" i="1"/>
  <c r="I42"/>
  <c r="D42"/>
  <c r="D43"/>
  <c r="G34"/>
  <c r="C35"/>
  <c r="D34"/>
  <c r="K28"/>
  <c r="K20"/>
  <c r="K4"/>
  <c r="K12"/>
  <c r="H5"/>
  <c r="D39" i="7" l="1"/>
  <c r="D41" s="1"/>
  <c r="F41" s="1"/>
  <c r="I9" i="5"/>
  <c r="J9" s="1"/>
  <c r="G28"/>
  <c r="K11" i="8"/>
  <c r="G28" i="9"/>
  <c r="G29" s="1"/>
  <c r="G32" s="1"/>
  <c r="G33" s="1"/>
  <c r="G34" s="1"/>
  <c r="E28"/>
  <c r="E29" s="1"/>
  <c r="E32" s="1"/>
  <c r="E33" s="1"/>
  <c r="E34" s="1"/>
  <c r="D10" i="6"/>
  <c r="F10" s="1"/>
  <c r="B2" i="8" s="1"/>
  <c r="E2" s="1"/>
  <c r="E28" s="1"/>
  <c r="E29" s="1"/>
  <c r="E32" s="1"/>
  <c r="E33" s="1"/>
  <c r="E34" s="1"/>
  <c r="I8"/>
  <c r="J8" s="1"/>
  <c r="G28"/>
  <c r="G29" s="1"/>
  <c r="G32" s="1"/>
  <c r="G33" s="1"/>
  <c r="G34" s="1"/>
  <c r="D31" i="6"/>
  <c r="D34" s="1"/>
  <c r="F34" s="1"/>
  <c r="F31"/>
  <c r="D18" i="7"/>
  <c r="F18" s="1"/>
  <c r="F15"/>
  <c r="D26"/>
  <c r="F26" s="1"/>
  <c r="F23"/>
  <c r="F31"/>
  <c r="D34"/>
  <c r="F34" s="1"/>
  <c r="G44" i="4"/>
  <c r="I42"/>
  <c r="D23" i="6"/>
  <c r="D15"/>
  <c r="D39"/>
  <c r="D41" s="1"/>
  <c r="D47"/>
  <c r="C49" i="4"/>
  <c r="C51" s="1"/>
  <c r="I8" i="5"/>
  <c r="J8" s="1"/>
  <c r="G29"/>
  <c r="G32" s="1"/>
  <c r="G33" s="1"/>
  <c r="G34" s="1"/>
  <c r="E28"/>
  <c r="E29" s="1"/>
  <c r="E32" s="1"/>
  <c r="E33" s="1"/>
  <c r="E34" s="1"/>
  <c r="E10" i="4"/>
  <c r="G34"/>
  <c r="C41"/>
  <c r="D49" i="3"/>
  <c r="G47"/>
  <c r="I47" s="1"/>
  <c r="I49" s="1"/>
  <c r="B7" i="2" s="1"/>
  <c r="E7" s="1"/>
  <c r="C49" i="3"/>
  <c r="G28" i="2"/>
  <c r="G29" s="1"/>
  <c r="G32" s="1"/>
  <c r="G33" s="1"/>
  <c r="G34" s="1"/>
  <c r="I24" i="3"/>
  <c r="G26"/>
  <c r="D26"/>
  <c r="D31"/>
  <c r="I26"/>
  <c r="E10"/>
  <c r="I44"/>
  <c r="B6" i="2" s="1"/>
  <c r="E6" s="1"/>
  <c r="D35" i="1"/>
  <c r="I34"/>
  <c r="D44" i="7" l="1"/>
  <c r="F44" s="1"/>
  <c r="D18" i="6"/>
  <c r="F18" s="1"/>
  <c r="F15"/>
  <c r="D26"/>
  <c r="F26" s="1"/>
  <c r="F23"/>
  <c r="D44"/>
  <c r="F44" s="1"/>
  <c r="F41"/>
  <c r="G51" i="4"/>
  <c r="G49" i="3"/>
  <c r="E28" i="2"/>
  <c r="E29" s="1"/>
  <c r="E32" s="1"/>
  <c r="E33" s="1"/>
  <c r="E34" s="1"/>
  <c r="I31" i="3"/>
  <c r="I34" s="1"/>
  <c r="D34"/>
  <c r="G34"/>
  <c r="I35" i="1"/>
  <c r="H39" s="1"/>
  <c r="D36"/>
</calcChain>
</file>

<file path=xl/sharedStrings.xml><?xml version="1.0" encoding="utf-8"?>
<sst xmlns="http://schemas.openxmlformats.org/spreadsheetml/2006/main" count="346" uniqueCount="73">
  <si>
    <t>Année/Employeur</t>
  </si>
  <si>
    <t>Détail</t>
  </si>
  <si>
    <t>FRF</t>
  </si>
  <si>
    <t>EUR (avant cap)</t>
  </si>
  <si>
    <t>Plafond EUR</t>
  </si>
  <si>
    <t>Dépassement</t>
  </si>
  <si>
    <t>EUR (après cap)</t>
  </si>
  <si>
    <t>Coef</t>
  </si>
  <si>
    <t>EUR Actualisé</t>
  </si>
  <si>
    <t>NON</t>
  </si>
  <si>
    <t>Rappels 1990</t>
  </si>
  <si>
    <t>TOTAL 1990</t>
  </si>
  <si>
    <t>GERME</t>
  </si>
  <si>
    <t>Rappels 1991</t>
  </si>
  <si>
    <t>TOTAL 1991</t>
  </si>
  <si>
    <t>CENTRE VALORISATION</t>
  </si>
  <si>
    <t>OBJECTIF FORMATION</t>
  </si>
  <si>
    <t>GROUP EUROP</t>
  </si>
  <si>
    <t>Rappels 1992</t>
  </si>
  <si>
    <t>TOTAL 1992</t>
  </si>
  <si>
    <t>TOTAL 1993</t>
  </si>
  <si>
    <t>Rappels 1994</t>
  </si>
  <si>
    <t>INSTITUT SUP (3 entrées)</t>
  </si>
  <si>
    <t>TOTAL 1994</t>
  </si>
  <si>
    <t>OUI</t>
  </si>
  <si>
    <t>INSTITUT SUPERIEUR</t>
  </si>
  <si>
    <t>INSTITUT SUP COMMERCE</t>
  </si>
  <si>
    <t>TOTAL 1995</t>
  </si>
  <si>
    <t>TOTAL 1996</t>
  </si>
  <si>
    <t>Année</t>
  </si>
  <si>
    <t>TOTAL 25 ANS</t>
  </si>
  <si>
    <t>MOYENNE (÷25)</t>
  </si>
  <si>
    <t>CALCUL RETRAITE</t>
  </si>
  <si>
    <t>Taux (50%):</t>
  </si>
  <si>
    <t>Montant annuel:</t>
  </si>
  <si>
    <t>Montant mensuel:</t>
  </si>
  <si>
    <t xml:space="preserve">GERME </t>
  </si>
  <si>
    <t>Rappels GERME 1993</t>
  </si>
  <si>
    <t>1 euro</t>
  </si>
  <si>
    <t>Rappel 1994</t>
  </si>
  <si>
    <t>Total Germe</t>
  </si>
  <si>
    <t>Rappel 1996</t>
  </si>
  <si>
    <t>Rappels Germe 1992</t>
  </si>
  <si>
    <t>Rappels Germe 1990</t>
  </si>
  <si>
    <t>Sous total Germe</t>
  </si>
  <si>
    <t>Sommes retenues</t>
  </si>
  <si>
    <t>Totaux</t>
  </si>
  <si>
    <t xml:space="preserve">INSTITUT SUP </t>
  </si>
  <si>
    <t>Sous total 1 Germe sur relevé</t>
  </si>
  <si>
    <t>Sous total 2 Germe</t>
  </si>
  <si>
    <t>Institut sup comm Orsay</t>
  </si>
  <si>
    <t>ISIC/ISIFA</t>
  </si>
  <si>
    <t>Montant corrigé (€)</t>
  </si>
  <si>
    <t>Montants CNAV (€)</t>
  </si>
  <si>
    <t>CNAV</t>
  </si>
  <si>
    <t>Germe rappel bulletin arrêt 1997</t>
  </si>
  <si>
    <t>Rappel bulletin 1 arrêt 1996</t>
  </si>
  <si>
    <t>Rappel  GERME bulletin 1 arrêt 1996</t>
  </si>
  <si>
    <t>Rappel  GERME bulletin 2 arrêt 1996</t>
  </si>
  <si>
    <t>Sous total GERME</t>
  </si>
  <si>
    <t>Montants CNAV valorisé (€)</t>
  </si>
  <si>
    <t>Montant Valorisé corrigé (€)</t>
  </si>
  <si>
    <t>Montants CNAV non valorisés</t>
  </si>
  <si>
    <t>Rappel bulletin1 arrêt 1996</t>
  </si>
  <si>
    <t>Rappel  GERME bulletin1 arrêt 1996</t>
  </si>
  <si>
    <t>GERME Salaire de 1994</t>
  </si>
  <si>
    <t>GERME Salaire de 1995</t>
  </si>
  <si>
    <t>GERME Salaire de 1993</t>
  </si>
  <si>
    <t>GERME Salaire de 1992</t>
  </si>
  <si>
    <t>GERME Salaire de 1991</t>
  </si>
  <si>
    <t>GERME Salaire de 1990</t>
  </si>
  <si>
    <t>Rappels Germe 1991</t>
  </si>
  <si>
    <t>Rappels Germe 1994</t>
  </si>
</sst>
</file>

<file path=xl/styles.xml><?xml version="1.0" encoding="utf-8"?>
<styleSheet xmlns="http://schemas.openxmlformats.org/spreadsheetml/2006/main">
  <numFmts count="4">
    <numFmt numFmtId="8" formatCode="#,##0.00\ &quot;€&quot;;[Red]\-#,##0.00\ &quot;€&quot;"/>
    <numFmt numFmtId="164" formatCode="#,##0.00\ &quot;€&quot;"/>
    <numFmt numFmtId="165" formatCode="#,##0.00\ [$FRF]"/>
    <numFmt numFmtId="166" formatCode="#,##0.000"/>
  </numFmts>
  <fonts count="1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2" fillId="4" borderId="1" xfId="0" applyFont="1" applyFill="1" applyBorder="1"/>
    <xf numFmtId="4" fontId="2" fillId="4" borderId="1" xfId="0" applyNumberFormat="1" applyFont="1" applyFill="1" applyBorder="1"/>
    <xf numFmtId="0" fontId="1" fillId="2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0" fontId="3" fillId="0" borderId="0" xfId="0" applyFont="1"/>
    <xf numFmtId="4" fontId="0" fillId="0" borderId="0" xfId="0" applyNumberFormat="1"/>
    <xf numFmtId="10" fontId="0" fillId="0" borderId="0" xfId="0" applyNumberFormat="1"/>
    <xf numFmtId="0" fontId="4" fillId="0" borderId="0" xfId="0" applyFont="1"/>
    <xf numFmtId="4" fontId="4" fillId="0" borderId="0" xfId="0" applyNumberFormat="1" applyFont="1"/>
    <xf numFmtId="0" fontId="5" fillId="5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4" fontId="6" fillId="0" borderId="1" xfId="0" applyNumberFormat="1" applyFont="1" applyBorder="1"/>
    <xf numFmtId="8" fontId="0" fillId="0" borderId="0" xfId="0" applyNumberFormat="1"/>
    <xf numFmtId="8" fontId="0" fillId="0" borderId="1" xfId="0" applyNumberFormat="1" applyBorder="1"/>
    <xf numFmtId="0" fontId="6" fillId="0" borderId="1" xfId="0" applyFont="1" applyBorder="1"/>
    <xf numFmtId="0" fontId="0" fillId="6" borderId="1" xfId="0" applyFill="1" applyBorder="1"/>
    <xf numFmtId="164" fontId="0" fillId="0" borderId="1" xfId="0" applyNumberFormat="1" applyBorder="1"/>
    <xf numFmtId="164" fontId="6" fillId="0" borderId="1" xfId="0" applyNumberFormat="1" applyFont="1" applyBorder="1"/>
    <xf numFmtId="165" fontId="0" fillId="6" borderId="1" xfId="0" applyNumberFormat="1" applyFill="1" applyBorder="1"/>
    <xf numFmtId="165" fontId="0" fillId="0" borderId="1" xfId="0" applyNumberFormat="1" applyBorder="1"/>
    <xf numFmtId="165" fontId="6" fillId="0" borderId="1" xfId="0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4" fontId="0" fillId="7" borderId="0" xfId="0" applyNumberFormat="1" applyFill="1"/>
    <xf numFmtId="8" fontId="6" fillId="0" borderId="1" xfId="0" applyNumberFormat="1" applyFont="1" applyBorder="1"/>
    <xf numFmtId="164" fontId="0" fillId="7" borderId="0" xfId="0" applyNumberFormat="1" applyFill="1"/>
    <xf numFmtId="165" fontId="6" fillId="6" borderId="1" xfId="0" applyNumberFormat="1" applyFont="1" applyFill="1" applyBorder="1"/>
    <xf numFmtId="0" fontId="9" fillId="6" borderId="1" xfId="0" applyFont="1" applyFill="1" applyBorder="1"/>
    <xf numFmtId="165" fontId="9" fillId="6" borderId="1" xfId="0" applyNumberFormat="1" applyFont="1" applyFill="1" applyBorder="1"/>
    <xf numFmtId="165" fontId="0" fillId="0" borderId="0" xfId="0" applyNumberFormat="1"/>
    <xf numFmtId="166" fontId="0" fillId="0" borderId="1" xfId="0" applyNumberFormat="1" applyBorder="1"/>
    <xf numFmtId="0" fontId="6" fillId="0" borderId="0" xfId="0" applyFont="1"/>
    <xf numFmtId="166" fontId="6" fillId="0" borderId="1" xfId="0" applyNumberFormat="1" applyFont="1" applyBorder="1"/>
    <xf numFmtId="0" fontId="10" fillId="0" borderId="0" xfId="0" applyFont="1"/>
    <xf numFmtId="0" fontId="11" fillId="0" borderId="0" xfId="0" applyFont="1"/>
    <xf numFmtId="166" fontId="11" fillId="0" borderId="2" xfId="0" applyNumberFormat="1" applyFont="1" applyFill="1" applyBorder="1"/>
    <xf numFmtId="164" fontId="0" fillId="0" borderId="0" xfId="0" applyNumberFormat="1"/>
    <xf numFmtId="164" fontId="11" fillId="0" borderId="0" xfId="0" applyNumberFormat="1" applyFont="1"/>
    <xf numFmtId="164" fontId="5" fillId="5" borderId="0" xfId="0" applyNumberFormat="1" applyFont="1" applyFill="1"/>
    <xf numFmtId="0" fontId="8" fillId="0" borderId="1" xfId="0" applyFont="1" applyBorder="1"/>
    <xf numFmtId="0" fontId="12" fillId="0" borderId="1" xfId="0" applyFont="1" applyBorder="1"/>
    <xf numFmtId="0" fontId="0" fillId="0" borderId="1" xfId="0" applyFont="1" applyBorder="1"/>
    <xf numFmtId="0" fontId="0" fillId="0" borderId="1" xfId="0" applyNumberFormat="1" applyBorder="1"/>
    <xf numFmtId="164" fontId="6" fillId="0" borderId="0" xfId="0" applyNumberFormat="1" applyFont="1"/>
    <xf numFmtId="0" fontId="0" fillId="0" borderId="3" xfId="0" applyBorder="1"/>
    <xf numFmtId="166" fontId="0" fillId="0" borderId="3" xfId="0" applyNumberFormat="1" applyBorder="1"/>
    <xf numFmtId="165" fontId="0" fillId="0" borderId="3" xfId="0" applyNumberFormat="1" applyBorder="1"/>
    <xf numFmtId="0" fontId="0" fillId="0" borderId="4" xfId="0" applyBorder="1"/>
    <xf numFmtId="166" fontId="0" fillId="0" borderId="4" xfId="0" applyNumberFormat="1" applyBorder="1"/>
    <xf numFmtId="165" fontId="0" fillId="0" borderId="4" xfId="0" applyNumberFormat="1" applyBorder="1"/>
    <xf numFmtId="0" fontId="0" fillId="8" borderId="1" xfId="0" applyFill="1" applyBorder="1"/>
    <xf numFmtId="0" fontId="0" fillId="8" borderId="0" xfId="0" applyFill="1"/>
    <xf numFmtId="166" fontId="0" fillId="8" borderId="1" xfId="0" applyNumberFormat="1" applyFill="1" applyBorder="1"/>
    <xf numFmtId="164" fontId="0" fillId="8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opLeftCell="A15" workbookViewId="0">
      <selection activeCell="E9" sqref="E9"/>
    </sheetView>
  </sheetViews>
  <sheetFormatPr baseColWidth="10" defaultColWidth="8.7265625" defaultRowHeight="14.5"/>
  <cols>
    <col min="1" max="1" width="20" customWidth="1"/>
    <col min="2" max="2" width="25" customWidth="1"/>
    <col min="3" max="8" width="15" customWidth="1"/>
    <col min="9" max="9" width="8.81640625" bestFit="1" customWidth="1"/>
    <col min="10" max="10" width="3.26953125" customWidth="1"/>
    <col min="11" max="11" width="10.54296875" customWidth="1"/>
    <col min="12" max="12" width="10.1796875" bestFit="1" customWidth="1"/>
  </cols>
  <sheetData>
    <row r="1" spans="1:12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6" t="s">
        <v>38</v>
      </c>
    </row>
    <row r="2" spans="1:12">
      <c r="A2" s="2">
        <v>1990</v>
      </c>
      <c r="B2" s="3"/>
      <c r="C2" s="3"/>
      <c r="D2" s="3"/>
      <c r="E2" s="3"/>
      <c r="F2" s="3"/>
      <c r="G2" s="3"/>
      <c r="H2" s="3"/>
      <c r="K2">
        <v>6.5595699999999999</v>
      </c>
    </row>
    <row r="3" spans="1:12">
      <c r="A3" s="3"/>
      <c r="B3" s="3" t="s">
        <v>36</v>
      </c>
      <c r="C3" s="4">
        <v>33120</v>
      </c>
      <c r="D3" s="4">
        <v>5049.1099999999997</v>
      </c>
      <c r="E3" s="4">
        <v>33741.019999999997</v>
      </c>
      <c r="F3" s="3" t="s">
        <v>9</v>
      </c>
      <c r="G3" s="4">
        <v>5049.1099999999997</v>
      </c>
      <c r="H3" s="3">
        <v>1.6890000000000001</v>
      </c>
      <c r="I3" s="4">
        <v>8527.9500000000007</v>
      </c>
    </row>
    <row r="4" spans="1:12">
      <c r="A4" s="3"/>
      <c r="B4" s="3" t="s">
        <v>10</v>
      </c>
      <c r="C4" s="4">
        <v>19791.71</v>
      </c>
      <c r="D4" s="4">
        <v>3017.23</v>
      </c>
      <c r="E4" s="4">
        <v>33741.019999999997</v>
      </c>
      <c r="F4" s="3" t="s">
        <v>9</v>
      </c>
      <c r="G4" s="4">
        <v>3017.23</v>
      </c>
      <c r="H4" s="3">
        <v>1.6890000000000001</v>
      </c>
      <c r="I4" s="4">
        <v>5096.1000000000004</v>
      </c>
      <c r="K4">
        <f>(C3+C4)/K2</f>
        <v>8066.3381898508587</v>
      </c>
    </row>
    <row r="5" spans="1:12">
      <c r="A5" s="5" t="s">
        <v>11</v>
      </c>
      <c r="B5" s="3"/>
      <c r="C5" s="3"/>
      <c r="D5" s="3"/>
      <c r="E5" s="3"/>
      <c r="F5" s="3"/>
      <c r="G5" s="3"/>
      <c r="H5" s="6">
        <f>I3+I4</f>
        <v>13624.050000000001</v>
      </c>
      <c r="L5" s="18">
        <v>19976.919999999998</v>
      </c>
    </row>
    <row r="6" spans="1:12">
      <c r="A6" s="5"/>
      <c r="B6" s="3"/>
      <c r="C6" s="3"/>
      <c r="D6" s="3"/>
      <c r="E6" s="3"/>
      <c r="F6" s="3"/>
      <c r="G6" s="3"/>
      <c r="H6" s="6"/>
      <c r="L6" s="18">
        <v>21001.38</v>
      </c>
    </row>
    <row r="7" spans="1:12">
      <c r="A7" s="2">
        <v>1991</v>
      </c>
      <c r="B7" s="3"/>
      <c r="C7" s="3"/>
      <c r="D7" s="3"/>
      <c r="E7" s="3"/>
      <c r="F7" s="3"/>
      <c r="G7" s="3"/>
      <c r="H7" s="3"/>
      <c r="L7" s="18">
        <v>21970.95</v>
      </c>
    </row>
    <row r="8" spans="1:12">
      <c r="A8" s="3"/>
      <c r="B8" s="3" t="s">
        <v>12</v>
      </c>
      <c r="C8" s="4">
        <v>112024</v>
      </c>
      <c r="D8" s="4">
        <v>17077.95</v>
      </c>
      <c r="E8" s="4">
        <v>34925.29</v>
      </c>
      <c r="F8" s="3" t="s">
        <v>9</v>
      </c>
      <c r="G8" s="4">
        <v>17077.95</v>
      </c>
      <c r="H8" s="3">
        <v>1.663</v>
      </c>
      <c r="I8" s="4">
        <v>28400.63</v>
      </c>
      <c r="L8" s="18">
        <v>22839.91</v>
      </c>
    </row>
    <row r="9" spans="1:12">
      <c r="A9" s="3"/>
      <c r="B9" s="3" t="s">
        <v>13</v>
      </c>
      <c r="C9" s="4">
        <v>68913</v>
      </c>
      <c r="D9" s="4">
        <v>10505.72</v>
      </c>
      <c r="E9" s="4">
        <v>34925.29</v>
      </c>
      <c r="F9" s="3" t="s">
        <v>9</v>
      </c>
      <c r="G9" s="4">
        <v>10505.72</v>
      </c>
      <c r="H9" s="3">
        <v>1.663</v>
      </c>
      <c r="I9" s="4">
        <v>17471.009999999998</v>
      </c>
      <c r="L9" s="18">
        <v>23342.99</v>
      </c>
    </row>
    <row r="10" spans="1:12">
      <c r="A10" s="5" t="s">
        <v>14</v>
      </c>
      <c r="B10" s="3"/>
      <c r="C10" s="3"/>
      <c r="D10" s="3"/>
      <c r="E10" s="3"/>
      <c r="F10" s="3"/>
      <c r="G10" s="3"/>
      <c r="H10" s="6">
        <v>45871.639604425291</v>
      </c>
      <c r="L10" s="18">
        <v>23772.9</v>
      </c>
    </row>
    <row r="11" spans="1:12">
      <c r="A11" s="5"/>
      <c r="B11" s="3"/>
      <c r="C11" s="3"/>
      <c r="D11" s="3"/>
      <c r="E11" s="3"/>
      <c r="F11" s="3"/>
      <c r="G11" s="3"/>
      <c r="H11" s="6"/>
      <c r="L11" s="18">
        <v>24577.83</v>
      </c>
    </row>
    <row r="12" spans="1:12">
      <c r="A12" s="2">
        <v>1992</v>
      </c>
      <c r="B12" s="3"/>
      <c r="C12" s="3"/>
      <c r="D12" s="3"/>
      <c r="E12" s="3"/>
      <c r="F12" s="3"/>
      <c r="G12" s="3"/>
      <c r="H12" s="3"/>
      <c r="K12">
        <f>(C13+C17)/K2</f>
        <v>25511.063987426005</v>
      </c>
    </row>
    <row r="13" spans="1:12">
      <c r="A13" s="3"/>
      <c r="B13" s="3" t="s">
        <v>12</v>
      </c>
      <c r="C13" s="4">
        <v>103829</v>
      </c>
      <c r="D13" s="4">
        <v>15828.63</v>
      </c>
      <c r="E13" s="4">
        <v>35351.26</v>
      </c>
      <c r="F13" s="3" t="s">
        <v>9</v>
      </c>
      <c r="G13" s="4">
        <v>15828.63</v>
      </c>
      <c r="H13" s="3">
        <v>1.609</v>
      </c>
      <c r="I13" s="4">
        <v>25468.26</v>
      </c>
    </row>
    <row r="14" spans="1:12">
      <c r="A14" s="3"/>
      <c r="B14" s="3" t="s">
        <v>15</v>
      </c>
      <c r="C14" s="4">
        <v>19793</v>
      </c>
      <c r="D14" s="4">
        <v>3017.42</v>
      </c>
      <c r="E14" s="4">
        <v>35351.26</v>
      </c>
      <c r="F14" s="3" t="s">
        <v>9</v>
      </c>
      <c r="G14" s="4">
        <v>3017.42</v>
      </c>
      <c r="H14" s="3">
        <v>1.609</v>
      </c>
      <c r="I14" s="4">
        <v>4855.03</v>
      </c>
    </row>
    <row r="15" spans="1:12">
      <c r="A15" s="3"/>
      <c r="B15" s="3" t="s">
        <v>16</v>
      </c>
      <c r="C15" s="4">
        <v>16485</v>
      </c>
      <c r="D15" s="4">
        <v>2513.12</v>
      </c>
      <c r="E15" s="4">
        <v>35351.26</v>
      </c>
      <c r="F15" s="3" t="s">
        <v>9</v>
      </c>
      <c r="G15" s="4">
        <v>2513.12</v>
      </c>
      <c r="H15" s="3">
        <v>1.609</v>
      </c>
      <c r="I15" s="4">
        <v>4043.61</v>
      </c>
    </row>
    <row r="16" spans="1:12">
      <c r="A16" s="3"/>
      <c r="B16" s="3" t="s">
        <v>17</v>
      </c>
      <c r="C16" s="4">
        <v>5400</v>
      </c>
      <c r="D16" s="4">
        <v>823.22</v>
      </c>
      <c r="E16" s="4">
        <v>35351.26</v>
      </c>
      <c r="F16" s="3" t="s">
        <v>9</v>
      </c>
      <c r="G16" s="4">
        <v>823.22</v>
      </c>
      <c r="H16" s="3">
        <v>1.609</v>
      </c>
      <c r="I16" s="4">
        <v>1324.57</v>
      </c>
    </row>
    <row r="17" spans="1:11">
      <c r="A17" s="3"/>
      <c r="B17" s="3" t="s">
        <v>18</v>
      </c>
      <c r="C17" s="4">
        <v>63512.61</v>
      </c>
      <c r="D17" s="4">
        <v>9682.43</v>
      </c>
      <c r="E17" s="4">
        <v>35351.26</v>
      </c>
      <c r="F17" s="3" t="s">
        <v>9</v>
      </c>
      <c r="G17" s="4">
        <v>9682.43</v>
      </c>
      <c r="H17" s="3">
        <v>1.609</v>
      </c>
      <c r="I17" s="4">
        <v>15579.04</v>
      </c>
      <c r="K17" s="11"/>
    </row>
    <row r="18" spans="1:11">
      <c r="A18" s="5" t="s">
        <v>19</v>
      </c>
      <c r="B18" s="3"/>
      <c r="C18" s="3"/>
      <c r="D18" s="3"/>
      <c r="E18" s="3"/>
      <c r="F18" s="3"/>
      <c r="G18" s="3"/>
      <c r="H18" s="6">
        <v>51270.518111705504</v>
      </c>
    </row>
    <row r="19" spans="1:11">
      <c r="A19" s="2">
        <v>1993</v>
      </c>
      <c r="B19" s="3"/>
      <c r="C19" s="3"/>
      <c r="D19" s="3"/>
      <c r="E19" s="3"/>
      <c r="F19" s="3"/>
      <c r="G19" s="3"/>
      <c r="H19" s="3"/>
    </row>
    <row r="20" spans="1:11">
      <c r="A20" s="3"/>
      <c r="B20" s="3" t="s">
        <v>12</v>
      </c>
      <c r="C20" s="4">
        <v>99462</v>
      </c>
      <c r="D20" s="4">
        <v>15162.88</v>
      </c>
      <c r="E20" s="4">
        <v>36749.42</v>
      </c>
      <c r="F20" s="3" t="s">
        <v>9</v>
      </c>
      <c r="G20" s="4">
        <v>15162.88</v>
      </c>
      <c r="H20" s="3">
        <v>1.609</v>
      </c>
      <c r="I20" s="4">
        <v>24397.08</v>
      </c>
      <c r="K20">
        <f>(C20+C23)/K2</f>
        <v>26168.332680343377</v>
      </c>
    </row>
    <row r="21" spans="1:11">
      <c r="A21" s="3"/>
      <c r="B21" s="3" t="s">
        <v>16</v>
      </c>
      <c r="C21" s="4">
        <v>78195</v>
      </c>
      <c r="D21" s="4">
        <v>11920.75</v>
      </c>
      <c r="E21" s="4">
        <v>36749.42</v>
      </c>
      <c r="F21" s="3" t="s">
        <v>9</v>
      </c>
      <c r="G21" s="4">
        <v>11920.75</v>
      </c>
      <c r="H21" s="3">
        <v>1.609</v>
      </c>
      <c r="I21" s="4">
        <v>19180.490000000002</v>
      </c>
    </row>
    <row r="22" spans="1:11">
      <c r="A22" s="3"/>
      <c r="B22" s="3" t="s">
        <v>17</v>
      </c>
      <c r="C22" s="4">
        <v>9000</v>
      </c>
      <c r="D22" s="4">
        <v>1372.04</v>
      </c>
      <c r="E22" s="4">
        <v>36749.42</v>
      </c>
      <c r="F22" s="3" t="s">
        <v>9</v>
      </c>
      <c r="G22" s="4">
        <v>1372.04</v>
      </c>
      <c r="H22" s="3">
        <v>1.609</v>
      </c>
      <c r="I22" s="4">
        <v>2207.61</v>
      </c>
    </row>
    <row r="23" spans="1:11">
      <c r="A23" s="3"/>
      <c r="B23" s="3" t="s">
        <v>37</v>
      </c>
      <c r="C23" s="4">
        <v>72191.009999999995</v>
      </c>
      <c r="D23" s="4">
        <v>11005.45</v>
      </c>
      <c r="E23" s="4">
        <v>36749.42</v>
      </c>
      <c r="F23" s="3" t="s">
        <v>9</v>
      </c>
      <c r="G23" s="4">
        <v>11005.45</v>
      </c>
      <c r="H23" s="3">
        <v>1.609</v>
      </c>
      <c r="I23" s="4">
        <v>17707.77</v>
      </c>
    </row>
    <row r="24" spans="1:11">
      <c r="A24" s="5" t="s">
        <v>20</v>
      </c>
      <c r="B24" s="3"/>
      <c r="C24" s="3"/>
      <c r="D24" s="3"/>
      <c r="E24" s="3"/>
      <c r="F24" s="3"/>
      <c r="G24" s="3"/>
      <c r="H24" s="6">
        <v>63492.949704020233</v>
      </c>
    </row>
    <row r="25" spans="1:11">
      <c r="A25" s="5"/>
      <c r="B25" s="3"/>
      <c r="C25" s="3"/>
      <c r="D25" s="3"/>
      <c r="E25" s="3"/>
      <c r="F25" s="3"/>
      <c r="G25" s="3"/>
      <c r="H25" s="6"/>
    </row>
    <row r="26" spans="1:11">
      <c r="A26" s="2">
        <v>1994</v>
      </c>
      <c r="B26" s="3"/>
      <c r="C26" s="3"/>
      <c r="D26" s="3"/>
      <c r="E26" s="3"/>
      <c r="F26" s="3"/>
      <c r="G26" s="3"/>
      <c r="H26" s="3"/>
    </row>
    <row r="27" spans="1:11">
      <c r="A27" s="3"/>
      <c r="B27" s="3" t="s">
        <v>36</v>
      </c>
      <c r="C27" s="4">
        <v>55218.32</v>
      </c>
      <c r="D27" s="4">
        <v>8417.98</v>
      </c>
      <c r="E27" s="4">
        <v>36905.269999999997</v>
      </c>
      <c r="F27" s="3" t="s">
        <v>9</v>
      </c>
      <c r="G27" s="4">
        <v>8417.98</v>
      </c>
      <c r="H27" s="3">
        <v>1.581</v>
      </c>
      <c r="I27" s="4">
        <v>13308.82</v>
      </c>
    </row>
    <row r="28" spans="1:11">
      <c r="A28" s="3"/>
      <c r="B28" s="3" t="s">
        <v>21</v>
      </c>
      <c r="C28" s="4">
        <v>84581.68</v>
      </c>
      <c r="D28" s="4">
        <v>12894.39</v>
      </c>
      <c r="E28" s="4">
        <v>36905.269999999997</v>
      </c>
      <c r="F28" s="3" t="s">
        <v>9</v>
      </c>
      <c r="G28" s="4">
        <v>12894.39</v>
      </c>
      <c r="H28" s="3">
        <v>1.581</v>
      </c>
      <c r="I28" s="4">
        <v>20386.04</v>
      </c>
      <c r="K28">
        <f>(C27+C28)/K2</f>
        <v>21312.372609789971</v>
      </c>
    </row>
    <row r="29" spans="1:11">
      <c r="A29" s="3"/>
      <c r="B29" s="3" t="s">
        <v>16</v>
      </c>
      <c r="C29" s="4">
        <v>46098</v>
      </c>
      <c r="D29" s="4">
        <v>7027.59</v>
      </c>
      <c r="E29" s="4">
        <v>36905.269999999997</v>
      </c>
      <c r="F29" s="3" t="s">
        <v>9</v>
      </c>
      <c r="G29" s="4">
        <v>7027.59</v>
      </c>
      <c r="H29" s="3">
        <v>1.581</v>
      </c>
      <c r="I29" s="4">
        <v>11110.63</v>
      </c>
    </row>
    <row r="30" spans="1:11">
      <c r="A30" s="3"/>
      <c r="B30" s="3" t="s">
        <v>22</v>
      </c>
      <c r="C30" s="4">
        <v>95040</v>
      </c>
      <c r="D30" s="4">
        <v>14488.75</v>
      </c>
      <c r="E30" s="4">
        <v>36905.269999999997</v>
      </c>
      <c r="F30" s="3" t="s">
        <v>9</v>
      </c>
      <c r="G30" s="4">
        <v>14488.75</v>
      </c>
      <c r="H30" s="3">
        <v>1.581</v>
      </c>
      <c r="I30" s="4">
        <v>22906.720000000001</v>
      </c>
    </row>
    <row r="31" spans="1:11">
      <c r="A31" s="5" t="s">
        <v>23</v>
      </c>
      <c r="B31" s="3"/>
      <c r="C31" s="3"/>
      <c r="D31" s="3"/>
      <c r="E31" s="3"/>
      <c r="F31" s="3"/>
      <c r="G31" s="3"/>
      <c r="H31" s="6">
        <v>67712.209489341534</v>
      </c>
    </row>
    <row r="32" spans="1:11">
      <c r="A32" s="5"/>
      <c r="B32" s="3"/>
      <c r="C32" s="3"/>
      <c r="D32" s="3"/>
      <c r="E32" s="3"/>
      <c r="F32" s="3"/>
      <c r="G32" s="3"/>
      <c r="H32" s="6"/>
    </row>
    <row r="33" spans="1:11">
      <c r="A33" s="2">
        <v>1995</v>
      </c>
      <c r="B33" s="3"/>
      <c r="C33" s="3"/>
      <c r="D33" s="3"/>
      <c r="E33" s="3"/>
      <c r="F33" s="3"/>
      <c r="G33" s="3"/>
      <c r="H33" s="3"/>
      <c r="K33" s="11">
        <v>139354.43</v>
      </c>
    </row>
    <row r="34" spans="1:11">
      <c r="A34" s="3"/>
      <c r="B34" s="17" t="s">
        <v>36</v>
      </c>
      <c r="C34" s="17">
        <v>70313</v>
      </c>
      <c r="D34" s="17">
        <f>C34/K2</f>
        <v>10719.147749014037</v>
      </c>
      <c r="E34" s="17">
        <v>37157.040000000001</v>
      </c>
      <c r="F34" s="17" t="s">
        <v>24</v>
      </c>
      <c r="G34" s="17">
        <f>E34</f>
        <v>37157.040000000001</v>
      </c>
      <c r="H34" s="3">
        <v>1.5629999999999999</v>
      </c>
      <c r="I34" s="4">
        <f>G34*H34</f>
        <v>58076.453520000003</v>
      </c>
    </row>
    <row r="35" spans="1:11">
      <c r="A35" s="3"/>
      <c r="B35" s="17" t="s">
        <v>39</v>
      </c>
      <c r="C35" s="17">
        <f>139354.43+41278</f>
        <v>180632.43</v>
      </c>
      <c r="D35" s="17">
        <f>C35/K2</f>
        <v>27537.236434705323</v>
      </c>
      <c r="E35" s="17"/>
      <c r="F35" s="17"/>
      <c r="G35" s="17"/>
      <c r="H35" s="3">
        <v>1.5629999999999999</v>
      </c>
      <c r="I35" s="4">
        <f>G35*H35</f>
        <v>0</v>
      </c>
    </row>
    <row r="36" spans="1:11">
      <c r="A36" s="3"/>
      <c r="B36" s="17" t="s">
        <v>40</v>
      </c>
      <c r="C36" s="17"/>
      <c r="D36" s="17">
        <f>D34+D35</f>
        <v>38256.384183719361</v>
      </c>
      <c r="E36" s="17"/>
      <c r="F36" s="17"/>
      <c r="G36" s="17"/>
      <c r="H36" s="3"/>
      <c r="I36" s="4"/>
    </row>
    <row r="37" spans="1:11">
      <c r="A37" s="3"/>
      <c r="B37" s="3" t="s">
        <v>25</v>
      </c>
      <c r="C37" s="4">
        <v>17940</v>
      </c>
      <c r="D37" s="4">
        <v>2734.94</v>
      </c>
      <c r="E37" s="4">
        <v>37157.040000000001</v>
      </c>
      <c r="F37" s="3" t="s">
        <v>9</v>
      </c>
      <c r="G37" s="4">
        <v>2734.94</v>
      </c>
      <c r="H37" s="3">
        <v>1.5629999999999999</v>
      </c>
      <c r="I37" s="4">
        <v>4274.7</v>
      </c>
    </row>
    <row r="38" spans="1:11">
      <c r="A38" s="3"/>
      <c r="B38" s="3" t="s">
        <v>26</v>
      </c>
      <c r="C38" s="4">
        <v>99341</v>
      </c>
      <c r="D38" s="4">
        <v>15144.44</v>
      </c>
      <c r="E38" s="4">
        <v>37157.040000000001</v>
      </c>
      <c r="F38" s="3" t="s">
        <v>9</v>
      </c>
      <c r="G38" s="4">
        <v>15144.44</v>
      </c>
      <c r="H38" s="3">
        <v>1.5629999999999999</v>
      </c>
      <c r="I38" s="4">
        <v>23670.76</v>
      </c>
      <c r="K38" s="11"/>
    </row>
    <row r="39" spans="1:11">
      <c r="A39" s="5" t="s">
        <v>27</v>
      </c>
      <c r="B39" s="3"/>
      <c r="C39" s="3"/>
      <c r="D39" s="3"/>
      <c r="E39" s="3"/>
      <c r="F39" s="3"/>
      <c r="G39" s="3"/>
      <c r="H39" s="6">
        <f>SUM(I34:I38)</f>
        <v>86021.913520000002</v>
      </c>
    </row>
    <row r="40" spans="1:11">
      <c r="A40" s="5"/>
      <c r="B40" s="3"/>
      <c r="C40" s="3"/>
      <c r="D40" s="3"/>
      <c r="E40" s="3"/>
      <c r="F40" s="3"/>
      <c r="G40" s="3"/>
      <c r="H40" s="6"/>
    </row>
    <row r="41" spans="1:11">
      <c r="A41" s="2">
        <v>1996</v>
      </c>
      <c r="B41" s="3"/>
      <c r="C41" s="3"/>
      <c r="D41" s="3"/>
      <c r="E41" s="3"/>
      <c r="F41" s="3"/>
      <c r="G41" s="3"/>
      <c r="H41" s="3"/>
    </row>
    <row r="42" spans="1:11">
      <c r="A42" s="3"/>
      <c r="B42" s="3" t="s">
        <v>41</v>
      </c>
      <c r="C42" s="3">
        <v>23587</v>
      </c>
      <c r="D42" s="4">
        <f>C42/K2</f>
        <v>3595.8149695787988</v>
      </c>
      <c r="E42" s="3">
        <v>37947.46</v>
      </c>
      <c r="F42" s="3" t="s">
        <v>9</v>
      </c>
      <c r="G42" s="3">
        <v>3595.81</v>
      </c>
      <c r="H42" s="3">
        <v>1.5249999999999999</v>
      </c>
      <c r="I42">
        <f>G42*H42</f>
        <v>5483.6102499999997</v>
      </c>
    </row>
    <row r="43" spans="1:11">
      <c r="A43" s="3"/>
      <c r="B43" s="3" t="s">
        <v>26</v>
      </c>
      <c r="C43" s="4">
        <v>146554</v>
      </c>
      <c r="D43" s="4">
        <f>C43/K2</f>
        <v>22342.013272211439</v>
      </c>
      <c r="E43" s="4">
        <v>37947.46</v>
      </c>
      <c r="F43" s="3" t="s">
        <v>9</v>
      </c>
      <c r="G43" s="4">
        <v>22342.01</v>
      </c>
      <c r="H43" s="3">
        <v>1.5249999999999999</v>
      </c>
      <c r="I43" s="4">
        <v>34071.57</v>
      </c>
    </row>
    <row r="44" spans="1:11">
      <c r="A44" s="5" t="s">
        <v>28</v>
      </c>
      <c r="B44" s="3"/>
      <c r="C44" s="3"/>
      <c r="D44" s="3"/>
      <c r="E44" s="3"/>
      <c r="F44" s="3"/>
      <c r="G44" s="3"/>
      <c r="H44" s="3"/>
      <c r="I44" s="6">
        <f>I42+I43</f>
        <v>39555.180249999998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topLeftCell="A29" workbookViewId="0">
      <selection activeCell="B45" sqref="B45"/>
    </sheetView>
  </sheetViews>
  <sheetFormatPr baseColWidth="10" defaultColWidth="8.7265625" defaultRowHeight="14.5"/>
  <cols>
    <col min="1" max="1" width="20" customWidth="1"/>
    <col min="2" max="2" width="30.54296875" bestFit="1" customWidth="1"/>
    <col min="3" max="8" width="15" customWidth="1"/>
    <col min="9" max="9" width="10.81640625" bestFit="1" customWidth="1"/>
    <col min="10" max="10" width="3.26953125" customWidth="1"/>
    <col min="11" max="11" width="10.54296875" customWidth="1"/>
    <col min="12" max="12" width="10.1796875" bestFit="1" customWidth="1"/>
  </cols>
  <sheetData>
    <row r="1" spans="1:12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 t="s">
        <v>45</v>
      </c>
      <c r="H1" s="1" t="s">
        <v>7</v>
      </c>
      <c r="I1" s="1" t="s">
        <v>8</v>
      </c>
      <c r="K1" s="16" t="s">
        <v>38</v>
      </c>
    </row>
    <row r="2" spans="1:12">
      <c r="A2" s="2">
        <v>1990</v>
      </c>
      <c r="B2" s="3"/>
      <c r="C2" s="3"/>
      <c r="D2" s="3"/>
      <c r="E2" s="3"/>
      <c r="F2" s="3"/>
      <c r="G2" s="3"/>
      <c r="H2" s="3"/>
      <c r="K2">
        <v>6.5595699999999999</v>
      </c>
    </row>
    <row r="3" spans="1:12">
      <c r="A3" s="3"/>
      <c r="B3" s="21" t="s">
        <v>36</v>
      </c>
      <c r="C3" s="24">
        <v>33120</v>
      </c>
      <c r="D3" s="22">
        <v>5049.1099999999997</v>
      </c>
      <c r="E3" s="4">
        <v>19976.919999999998</v>
      </c>
      <c r="F3" s="3" t="s">
        <v>9</v>
      </c>
      <c r="G3" s="4">
        <v>5049.1099999999997</v>
      </c>
      <c r="H3" s="3">
        <v>1.6890000000000001</v>
      </c>
      <c r="I3" s="4">
        <v>8527.9500000000007</v>
      </c>
    </row>
    <row r="4" spans="1:12">
      <c r="A4" s="3"/>
      <c r="B4" s="3" t="s">
        <v>43</v>
      </c>
      <c r="C4" s="25">
        <v>19791.71</v>
      </c>
      <c r="D4" s="22">
        <v>3017.23</v>
      </c>
      <c r="E4" s="4">
        <f>E3</f>
        <v>19976.919999999998</v>
      </c>
      <c r="F4" s="3" t="s">
        <v>9</v>
      </c>
      <c r="G4" s="4">
        <v>3017.23</v>
      </c>
      <c r="H4" s="3">
        <v>1.6890000000000001</v>
      </c>
      <c r="I4" s="4">
        <v>5096.1000000000004</v>
      </c>
    </row>
    <row r="5" spans="1:12">
      <c r="A5" s="5" t="s">
        <v>11</v>
      </c>
      <c r="B5" s="3" t="s">
        <v>40</v>
      </c>
      <c r="C5" s="25">
        <f>SUM(C3:C4)</f>
        <v>52911.71</v>
      </c>
      <c r="D5" s="22">
        <f>SUM(D3:D4)</f>
        <v>8066.34</v>
      </c>
      <c r="E5" s="4">
        <f>E4</f>
        <v>19976.919999999998</v>
      </c>
      <c r="F5" s="3" t="s">
        <v>9</v>
      </c>
      <c r="G5" s="4">
        <f>G3+G4</f>
        <v>8066.34</v>
      </c>
      <c r="H5" s="3">
        <v>1.6890000000000001</v>
      </c>
      <c r="I5" s="28">
        <f>SUM(I3:I4)</f>
        <v>13624.050000000001</v>
      </c>
      <c r="L5" s="18"/>
    </row>
    <row r="6" spans="1:12">
      <c r="A6" s="3"/>
      <c r="B6" s="3"/>
      <c r="C6" s="25"/>
      <c r="D6" s="22"/>
      <c r="E6" s="4"/>
      <c r="F6" s="3"/>
      <c r="G6" s="4"/>
      <c r="I6" s="11"/>
      <c r="L6" s="18"/>
    </row>
    <row r="7" spans="1:12">
      <c r="A7" s="2">
        <v>1991</v>
      </c>
      <c r="B7" s="3"/>
      <c r="C7" s="25"/>
      <c r="D7" s="22"/>
      <c r="E7" s="3"/>
      <c r="F7" s="3"/>
      <c r="G7" s="3"/>
      <c r="H7" s="3"/>
      <c r="I7" s="3"/>
      <c r="L7" s="18"/>
    </row>
    <row r="8" spans="1:12">
      <c r="A8" s="3"/>
      <c r="B8" s="3" t="s">
        <v>12</v>
      </c>
      <c r="C8" s="24">
        <v>112024</v>
      </c>
      <c r="D8" s="22">
        <v>17077.95</v>
      </c>
      <c r="E8" s="4">
        <v>21001.38</v>
      </c>
      <c r="F8" s="20"/>
      <c r="G8" s="4"/>
      <c r="H8" s="3"/>
      <c r="I8" s="4"/>
      <c r="L8" s="18"/>
    </row>
    <row r="9" spans="1:12">
      <c r="A9" s="3"/>
      <c r="B9" s="3" t="s">
        <v>13</v>
      </c>
      <c r="C9" s="25">
        <v>68913</v>
      </c>
      <c r="D9" s="22">
        <v>10505.72</v>
      </c>
      <c r="E9" s="4">
        <f>E8</f>
        <v>21001.38</v>
      </c>
      <c r="F9" s="20"/>
      <c r="G9" s="17"/>
      <c r="H9" s="3"/>
      <c r="I9" s="4"/>
      <c r="L9" s="18"/>
    </row>
    <row r="10" spans="1:12">
      <c r="A10" s="5" t="s">
        <v>14</v>
      </c>
      <c r="B10" s="20" t="s">
        <v>40</v>
      </c>
      <c r="C10" s="25">
        <f>SUM(C8:C9)</f>
        <v>180937</v>
      </c>
      <c r="D10" s="23">
        <f>SUM(D8:D9)</f>
        <v>27583.67</v>
      </c>
      <c r="E10" s="4">
        <f>E9</f>
        <v>21001.38</v>
      </c>
      <c r="F10" s="20" t="s">
        <v>24</v>
      </c>
      <c r="G10" s="17">
        <f>E9</f>
        <v>21001.38</v>
      </c>
      <c r="H10" s="3">
        <v>1.663</v>
      </c>
      <c r="I10" s="28">
        <f>G10*H10</f>
        <v>34925.29494</v>
      </c>
      <c r="L10" s="18"/>
    </row>
    <row r="11" spans="1:12">
      <c r="A11" s="3"/>
      <c r="B11" s="20"/>
      <c r="C11" s="25"/>
      <c r="D11" s="23"/>
      <c r="E11" s="4"/>
      <c r="F11" s="20"/>
      <c r="G11" s="4"/>
      <c r="H11" s="3"/>
      <c r="I11" s="3"/>
      <c r="L11" s="18"/>
    </row>
    <row r="12" spans="1:12">
      <c r="A12" s="2">
        <v>1992</v>
      </c>
      <c r="B12" s="3"/>
      <c r="C12" s="25"/>
      <c r="D12" s="22"/>
      <c r="E12" s="3"/>
      <c r="F12" s="3"/>
      <c r="G12" s="3"/>
      <c r="H12" s="3"/>
      <c r="I12" s="3"/>
    </row>
    <row r="13" spans="1:12">
      <c r="A13" s="3"/>
      <c r="B13" s="3" t="s">
        <v>12</v>
      </c>
      <c r="C13" s="25">
        <v>103829</v>
      </c>
      <c r="D13" s="22">
        <v>15828.63</v>
      </c>
      <c r="E13" s="4">
        <f>21970.95</f>
        <v>21970.95</v>
      </c>
      <c r="F13" s="20"/>
      <c r="G13" s="4"/>
      <c r="H13" s="3"/>
      <c r="I13" s="4"/>
    </row>
    <row r="14" spans="1:12">
      <c r="A14" s="3"/>
      <c r="B14" s="3" t="s">
        <v>42</v>
      </c>
      <c r="C14" s="25">
        <v>63512.61</v>
      </c>
      <c r="D14" s="22">
        <v>9682.43</v>
      </c>
      <c r="E14" s="4">
        <f t="shared" ref="E14:E15" si="0">E13</f>
        <v>21970.95</v>
      </c>
      <c r="F14" s="20"/>
      <c r="G14" s="17"/>
      <c r="H14" s="3"/>
      <c r="I14" s="4"/>
    </row>
    <row r="15" spans="1:12">
      <c r="A15" s="3"/>
      <c r="B15" s="20" t="s">
        <v>44</v>
      </c>
      <c r="C15" s="25">
        <f>C13+C14</f>
        <v>167341.60999999999</v>
      </c>
      <c r="D15" s="23">
        <f>SUM(D13:D14)</f>
        <v>25511.059999999998</v>
      </c>
      <c r="E15" s="4">
        <f t="shared" si="0"/>
        <v>21970.95</v>
      </c>
      <c r="F15" s="20" t="s">
        <v>24</v>
      </c>
      <c r="G15" s="29">
        <v>21970.63</v>
      </c>
      <c r="H15" s="3">
        <v>1.609</v>
      </c>
      <c r="I15" s="4">
        <v>4855.03</v>
      </c>
    </row>
    <row r="16" spans="1:12">
      <c r="A16" s="3"/>
      <c r="B16" s="3" t="s">
        <v>16</v>
      </c>
      <c r="C16" s="25">
        <v>16485</v>
      </c>
      <c r="D16" s="22">
        <v>2513.12</v>
      </c>
      <c r="E16" s="4">
        <f>E15</f>
        <v>21970.95</v>
      </c>
      <c r="F16" s="3" t="s">
        <v>9</v>
      </c>
      <c r="G16" s="19">
        <v>2513.12</v>
      </c>
      <c r="H16" s="3">
        <v>1.609</v>
      </c>
      <c r="I16" s="4">
        <v>4043.61</v>
      </c>
    </row>
    <row r="17" spans="1:11">
      <c r="A17" s="3"/>
      <c r="B17" s="3" t="s">
        <v>17</v>
      </c>
      <c r="C17" s="25">
        <v>5400</v>
      </c>
      <c r="D17" s="22">
        <v>823.22</v>
      </c>
      <c r="E17" s="4">
        <f t="shared" ref="E17" si="1">E16</f>
        <v>21970.95</v>
      </c>
      <c r="F17" s="3" t="s">
        <v>9</v>
      </c>
      <c r="G17" s="19">
        <v>823.22</v>
      </c>
      <c r="H17" s="3">
        <v>1.609</v>
      </c>
      <c r="I17" s="4">
        <v>1324.57</v>
      </c>
    </row>
    <row r="18" spans="1:11">
      <c r="A18" s="5" t="s">
        <v>19</v>
      </c>
      <c r="B18" s="3" t="s">
        <v>46</v>
      </c>
      <c r="C18" s="25">
        <f>SUM(C14:C17)</f>
        <v>252739.21999999997</v>
      </c>
      <c r="D18" s="22"/>
      <c r="E18" s="4"/>
      <c r="F18" s="3"/>
      <c r="G18" s="19">
        <f>SUM(G15:G17)</f>
        <v>25306.97</v>
      </c>
      <c r="H18" s="3">
        <v>1.609</v>
      </c>
      <c r="I18" s="28">
        <f>G18*H18</f>
        <v>40718.914730000004</v>
      </c>
      <c r="K18" s="11"/>
    </row>
    <row r="19" spans="1:11">
      <c r="A19" s="3"/>
      <c r="B19" s="3"/>
      <c r="C19" s="25"/>
      <c r="D19" s="22"/>
      <c r="E19" s="3"/>
      <c r="F19" s="3"/>
      <c r="G19" s="19"/>
      <c r="H19" s="3"/>
      <c r="I19" s="11"/>
    </row>
    <row r="20" spans="1:11">
      <c r="A20" s="2">
        <v>1993</v>
      </c>
      <c r="B20" s="3"/>
      <c r="C20" s="25"/>
      <c r="D20" s="22"/>
      <c r="E20" s="3"/>
      <c r="F20" s="3"/>
      <c r="G20" s="3"/>
      <c r="H20" s="3"/>
    </row>
    <row r="21" spans="1:11">
      <c r="A21" s="3"/>
      <c r="B21" s="3" t="s">
        <v>12</v>
      </c>
      <c r="C21" s="25">
        <v>99462</v>
      </c>
      <c r="D21" s="22">
        <v>15162.88</v>
      </c>
      <c r="E21" s="4"/>
      <c r="F21" s="3"/>
      <c r="G21" s="22"/>
      <c r="H21" s="22"/>
      <c r="I21" s="22"/>
    </row>
    <row r="22" spans="1:11">
      <c r="A22" s="3"/>
      <c r="B22" s="3" t="s">
        <v>37</v>
      </c>
      <c r="C22" s="25">
        <v>72191.009999999995</v>
      </c>
      <c r="D22" s="22">
        <v>11005.45</v>
      </c>
      <c r="E22" s="4"/>
      <c r="F22" s="3"/>
      <c r="G22" s="22"/>
      <c r="H22" s="22"/>
      <c r="I22" s="22"/>
    </row>
    <row r="23" spans="1:11">
      <c r="A23" s="3"/>
      <c r="B23" s="20" t="s">
        <v>44</v>
      </c>
      <c r="C23" s="25">
        <f>SUM(D21)</f>
        <v>15162.88</v>
      </c>
      <c r="D23" s="26">
        <f>SUM(D21:D22)</f>
        <v>26168.33</v>
      </c>
      <c r="E23" s="22">
        <v>22839.91</v>
      </c>
      <c r="F23" s="20" t="s">
        <v>24</v>
      </c>
      <c r="G23" s="23">
        <f>E23</f>
        <v>22839.91</v>
      </c>
      <c r="H23" s="3">
        <v>1.609</v>
      </c>
      <c r="I23" s="22">
        <f>G23*H23</f>
        <v>36749.41519</v>
      </c>
    </row>
    <row r="24" spans="1:11">
      <c r="A24" s="3"/>
      <c r="B24" s="3" t="s">
        <v>16</v>
      </c>
      <c r="C24" s="25">
        <v>70245</v>
      </c>
      <c r="D24" s="22">
        <f>C24/K2</f>
        <v>10708.781215841893</v>
      </c>
      <c r="E24" s="22">
        <v>22839.91</v>
      </c>
      <c r="F24" s="3" t="s">
        <v>9</v>
      </c>
      <c r="G24" s="22">
        <f>D24</f>
        <v>10708.781215841893</v>
      </c>
      <c r="H24" s="3">
        <v>1.609</v>
      </c>
      <c r="I24" s="22">
        <f t="shared" ref="I24:I25" si="2">G24*H24</f>
        <v>17230.428976289604</v>
      </c>
    </row>
    <row r="25" spans="1:11">
      <c r="A25" s="3"/>
      <c r="B25" s="3" t="s">
        <v>17</v>
      </c>
      <c r="C25" s="25">
        <v>9000</v>
      </c>
      <c r="D25" s="22">
        <v>1372.04</v>
      </c>
      <c r="E25" s="22">
        <v>22839.91</v>
      </c>
      <c r="F25" s="3" t="s">
        <v>9</v>
      </c>
      <c r="G25" s="22">
        <v>1372.04</v>
      </c>
      <c r="H25" s="3">
        <v>1.609</v>
      </c>
      <c r="I25" s="22">
        <f t="shared" si="2"/>
        <v>2207.6123600000001</v>
      </c>
    </row>
    <row r="26" spans="1:11">
      <c r="A26" s="5" t="s">
        <v>20</v>
      </c>
      <c r="B26" s="3" t="s">
        <v>46</v>
      </c>
      <c r="C26" s="25">
        <f>C23+C24+C25</f>
        <v>94407.88</v>
      </c>
      <c r="D26" s="25">
        <f>D23+D24+D25</f>
        <v>38249.151215841899</v>
      </c>
      <c r="E26" s="3"/>
      <c r="F26" s="3"/>
      <c r="G26" s="22">
        <f>SUM(G23:G25)</f>
        <v>34920.731215841894</v>
      </c>
      <c r="H26" s="3">
        <v>1.609</v>
      </c>
      <c r="I26" s="28">
        <f>G26*H26</f>
        <v>56187.456526289607</v>
      </c>
    </row>
    <row r="27" spans="1:11">
      <c r="A27" s="3"/>
      <c r="B27" s="3"/>
      <c r="C27" s="25"/>
      <c r="D27" s="22"/>
      <c r="E27" s="3"/>
      <c r="F27" s="3"/>
      <c r="G27" s="3"/>
    </row>
    <row r="28" spans="1:11">
      <c r="A28" s="2">
        <v>1994</v>
      </c>
      <c r="B28" s="3"/>
      <c r="C28" s="25"/>
      <c r="D28" s="22"/>
      <c r="E28" s="3"/>
      <c r="F28" s="3"/>
      <c r="G28" s="3"/>
      <c r="H28" s="3"/>
    </row>
    <row r="29" spans="1:11">
      <c r="A29" s="3"/>
      <c r="B29" s="3" t="s">
        <v>36</v>
      </c>
      <c r="C29" s="25">
        <v>139800</v>
      </c>
      <c r="D29" s="22">
        <f>C29/K2</f>
        <v>21312.372609789971</v>
      </c>
      <c r="E29" s="4"/>
      <c r="F29" s="3"/>
      <c r="G29" s="4"/>
      <c r="H29" s="3"/>
      <c r="I29" s="22"/>
    </row>
    <row r="30" spans="1:11">
      <c r="A30" s="3"/>
      <c r="B30" s="3" t="s">
        <v>21</v>
      </c>
      <c r="C30" s="25">
        <v>84581.68</v>
      </c>
      <c r="D30" s="22">
        <f>C30/K2</f>
        <v>12894.393992289128</v>
      </c>
      <c r="E30" s="4"/>
      <c r="F30" s="3"/>
      <c r="G30" s="4"/>
      <c r="H30" s="3"/>
      <c r="I30" s="22"/>
    </row>
    <row r="31" spans="1:11">
      <c r="A31" s="3"/>
      <c r="B31" s="20" t="s">
        <v>44</v>
      </c>
      <c r="C31" s="25">
        <f>SUM(C29:C30)</f>
        <v>224381.68</v>
      </c>
      <c r="D31" s="22">
        <f>SUM(D29:D30)</f>
        <v>34206.7666020791</v>
      </c>
      <c r="E31" s="17">
        <v>23342.99</v>
      </c>
      <c r="F31" s="17" t="s">
        <v>24</v>
      </c>
      <c r="G31" s="22">
        <f>E31</f>
        <v>23342.99</v>
      </c>
      <c r="H31" s="3">
        <v>1.581</v>
      </c>
      <c r="I31" s="22">
        <f>G31*H31</f>
        <v>36905.267189999999</v>
      </c>
    </row>
    <row r="32" spans="1:11">
      <c r="A32" s="3"/>
      <c r="B32" s="3" t="s">
        <v>16</v>
      </c>
      <c r="C32" s="25">
        <v>30760</v>
      </c>
      <c r="D32" s="22">
        <f>C32/K2</f>
        <v>4689.3317702227432</v>
      </c>
      <c r="E32" s="4">
        <v>23342.99</v>
      </c>
      <c r="F32" s="3" t="s">
        <v>9</v>
      </c>
      <c r="G32" s="4">
        <f>D32</f>
        <v>4689.3317702227432</v>
      </c>
      <c r="H32" s="3">
        <v>1.581</v>
      </c>
      <c r="I32" s="22">
        <f>G32*H32</f>
        <v>7413.8335287221571</v>
      </c>
    </row>
    <row r="33" spans="1:11">
      <c r="A33" s="3"/>
      <c r="B33" s="3" t="s">
        <v>47</v>
      </c>
      <c r="C33" s="25">
        <v>16350</v>
      </c>
      <c r="D33" s="22">
        <f>C33/K2</f>
        <v>2492.5414318316598</v>
      </c>
      <c r="E33" s="4">
        <v>23342.99</v>
      </c>
      <c r="F33" s="3" t="s">
        <v>9</v>
      </c>
      <c r="G33" s="4">
        <f>D33</f>
        <v>2492.5414318316598</v>
      </c>
      <c r="H33" s="3">
        <v>1.581</v>
      </c>
      <c r="I33" s="22">
        <f>G33*H33</f>
        <v>3940.7080037258538</v>
      </c>
    </row>
    <row r="34" spans="1:11">
      <c r="A34" s="5" t="s">
        <v>23</v>
      </c>
      <c r="B34" s="3" t="s">
        <v>46</v>
      </c>
      <c r="C34" s="25">
        <f>C31+C32+C33</f>
        <v>271491.68</v>
      </c>
      <c r="D34" s="22">
        <f>D31+D32+D33</f>
        <v>41388.639804133505</v>
      </c>
      <c r="E34" s="3"/>
      <c r="F34" s="3"/>
      <c r="G34" s="4">
        <f>SUM(G31:G33)</f>
        <v>30524.863202054403</v>
      </c>
      <c r="H34" s="3">
        <v>1.581</v>
      </c>
      <c r="I34" s="30">
        <f>SUM(I31:I33)</f>
        <v>48259.808722448011</v>
      </c>
    </row>
    <row r="35" spans="1:11">
      <c r="A35" s="5"/>
      <c r="B35" s="3"/>
      <c r="C35" s="25">
        <f>C29+C32+C33</f>
        <v>186910</v>
      </c>
      <c r="D35" s="22"/>
      <c r="E35" s="3"/>
      <c r="F35" s="3"/>
      <c r="G35" s="3"/>
      <c r="H35" s="3"/>
    </row>
    <row r="36" spans="1:11">
      <c r="A36" s="2">
        <v>1995</v>
      </c>
      <c r="B36" s="3"/>
      <c r="C36" s="25"/>
      <c r="D36" s="22"/>
      <c r="E36" s="3"/>
      <c r="F36" s="3"/>
      <c r="G36" s="3"/>
      <c r="H36" s="3"/>
      <c r="K36" s="11"/>
    </row>
    <row r="37" spans="1:11">
      <c r="A37" s="3"/>
      <c r="B37" s="3" t="s">
        <v>36</v>
      </c>
      <c r="C37" s="26">
        <v>70313</v>
      </c>
      <c r="D37" s="22">
        <f>C37/K2</f>
        <v>10719.147749014037</v>
      </c>
      <c r="E37" s="17"/>
      <c r="F37" s="17"/>
      <c r="G37" s="17"/>
      <c r="H37" s="3"/>
      <c r="I37" s="4"/>
    </row>
    <row r="38" spans="1:11">
      <c r="A38" s="3"/>
      <c r="B38" s="3" t="s">
        <v>55</v>
      </c>
      <c r="C38" s="26">
        <v>448344.41</v>
      </c>
      <c r="D38" s="22">
        <f>C38/K2</f>
        <v>68349.664688386591</v>
      </c>
      <c r="E38" s="17"/>
      <c r="F38" s="17"/>
      <c r="G38" s="17"/>
      <c r="H38" s="3"/>
      <c r="I38" s="4"/>
    </row>
    <row r="39" spans="1:11">
      <c r="A39" s="3"/>
      <c r="B39" s="32" t="s">
        <v>48</v>
      </c>
      <c r="C39" s="33">
        <f>SUM(C37:C38)</f>
        <v>518657.41</v>
      </c>
      <c r="D39" s="22">
        <f>C39/K2</f>
        <v>79068.812437400615</v>
      </c>
      <c r="E39" s="17"/>
      <c r="F39" s="17"/>
      <c r="G39" s="17"/>
      <c r="H39" s="3"/>
      <c r="I39" s="4"/>
    </row>
    <row r="40" spans="1:11">
      <c r="A40" s="3"/>
      <c r="B40" s="3" t="s">
        <v>63</v>
      </c>
      <c r="C40" s="26">
        <v>41278</v>
      </c>
      <c r="D40" s="22">
        <f>C40/K2</f>
        <v>6292.7905335258256</v>
      </c>
      <c r="E40" s="17"/>
      <c r="F40" s="17"/>
      <c r="G40" s="17"/>
      <c r="H40" s="3"/>
      <c r="I40" s="4"/>
    </row>
    <row r="41" spans="1:11">
      <c r="A41" s="3"/>
      <c r="B41" s="32" t="s">
        <v>49</v>
      </c>
      <c r="C41" s="31">
        <f>C39+C40</f>
        <v>559935.40999999992</v>
      </c>
      <c r="D41" s="22">
        <f>D39+D40</f>
        <v>85361.60297092644</v>
      </c>
      <c r="E41" s="17">
        <v>31157.040000000001</v>
      </c>
      <c r="F41" s="17" t="s">
        <v>24</v>
      </c>
      <c r="G41" s="17">
        <v>31157.040000000001</v>
      </c>
      <c r="H41" s="3">
        <v>1.5629999999999999</v>
      </c>
      <c r="I41" s="4">
        <f>G41*H41</f>
        <v>48698.453520000003</v>
      </c>
    </row>
    <row r="42" spans="1:11">
      <c r="A42" s="3"/>
      <c r="B42" s="3" t="s">
        <v>50</v>
      </c>
      <c r="C42" s="25">
        <v>34700</v>
      </c>
      <c r="D42" s="22">
        <f>C42/K2</f>
        <v>5289.9808981381402</v>
      </c>
      <c r="E42" s="4">
        <v>37157.040000000001</v>
      </c>
      <c r="F42" s="3" t="s">
        <v>9</v>
      </c>
      <c r="G42" s="4">
        <v>2734.94</v>
      </c>
      <c r="H42" s="3">
        <v>1.5629999999999999</v>
      </c>
      <c r="I42" s="4">
        <f>G42*H42</f>
        <v>4274.7112200000001</v>
      </c>
    </row>
    <row r="43" spans="1:11">
      <c r="A43" s="3"/>
      <c r="B43" s="3" t="s">
        <v>51</v>
      </c>
      <c r="C43" s="25">
        <v>11615</v>
      </c>
      <c r="D43" s="22">
        <v>15144.44</v>
      </c>
      <c r="E43" s="4">
        <v>37157.040000000001</v>
      </c>
      <c r="F43" s="3" t="s">
        <v>9</v>
      </c>
      <c r="G43" s="4">
        <v>15144.44</v>
      </c>
      <c r="H43" s="3">
        <v>1.5629999999999999</v>
      </c>
      <c r="I43" s="4">
        <f>G43*H43</f>
        <v>23670.759719999998</v>
      </c>
      <c r="K43" s="11"/>
    </row>
    <row r="44" spans="1:11">
      <c r="A44" s="5" t="s">
        <v>27</v>
      </c>
      <c r="B44" s="3" t="s">
        <v>46</v>
      </c>
      <c r="C44" s="25">
        <f>C41+C42+C43</f>
        <v>606250.40999999992</v>
      </c>
      <c r="D44" s="22"/>
      <c r="E44" s="3"/>
      <c r="F44" s="3"/>
      <c r="G44" s="4">
        <f>G41+G42+G43</f>
        <v>49036.420000000006</v>
      </c>
      <c r="H44" s="3"/>
      <c r="I44" s="30">
        <f>SUM(I37:I43)</f>
        <v>76643.924459999995</v>
      </c>
    </row>
    <row r="45" spans="1:11">
      <c r="A45" s="5"/>
      <c r="B45" s="3"/>
      <c r="C45" s="25"/>
      <c r="D45" s="22"/>
      <c r="E45" s="3"/>
      <c r="F45" s="3"/>
      <c r="G45" s="3"/>
      <c r="H45" s="3"/>
    </row>
    <row r="46" spans="1:11">
      <c r="A46" s="2">
        <v>1996</v>
      </c>
      <c r="B46" s="3"/>
      <c r="C46" s="25"/>
      <c r="D46" s="22"/>
      <c r="E46" s="3"/>
      <c r="F46" s="3"/>
      <c r="G46" s="3"/>
      <c r="H46" s="3"/>
    </row>
    <row r="47" spans="1:11">
      <c r="A47" s="3"/>
      <c r="B47" s="3" t="s">
        <v>64</v>
      </c>
      <c r="C47" s="25">
        <v>23587.200000000001</v>
      </c>
      <c r="D47" s="22">
        <f>C47/K2</f>
        <v>3595.8454593822462</v>
      </c>
      <c r="E47" s="3">
        <v>24577.83</v>
      </c>
      <c r="F47" s="3" t="s">
        <v>9</v>
      </c>
      <c r="G47" s="22">
        <f>D47</f>
        <v>3595.8454593822462</v>
      </c>
      <c r="H47" s="3">
        <v>1.5249999999999999</v>
      </c>
      <c r="I47" s="41">
        <f>G47*H47</f>
        <v>5483.6643255579247</v>
      </c>
    </row>
    <row r="48" spans="1:11">
      <c r="A48" s="3"/>
      <c r="B48" s="3" t="s">
        <v>26</v>
      </c>
      <c r="C48" s="25">
        <v>50352</v>
      </c>
      <c r="D48" s="22">
        <f>C48/K2</f>
        <v>7676.1129159380871</v>
      </c>
      <c r="E48" s="3">
        <v>24577.83</v>
      </c>
      <c r="F48" s="3" t="s">
        <v>9</v>
      </c>
      <c r="G48" s="4">
        <f>D48</f>
        <v>7676.1129159380871</v>
      </c>
      <c r="H48" s="3">
        <v>1.5249999999999999</v>
      </c>
      <c r="I48" s="4">
        <f>G48*H48</f>
        <v>11706.072196805582</v>
      </c>
    </row>
    <row r="49" spans="1:9">
      <c r="A49" s="5" t="s">
        <v>28</v>
      </c>
      <c r="B49" s="3"/>
      <c r="C49" s="25">
        <f>SUM(C47:C48)</f>
        <v>73939.199999999997</v>
      </c>
      <c r="D49" s="22">
        <f>SUM(D47:D48)</f>
        <v>11271.958375320333</v>
      </c>
      <c r="E49" s="3"/>
      <c r="F49" s="3"/>
      <c r="G49" s="22">
        <f>SUM(G47:G48)</f>
        <v>11271.958375320333</v>
      </c>
      <c r="H49" s="3">
        <v>1.5249999999999999</v>
      </c>
      <c r="I49" s="6">
        <f>I47+I48</f>
        <v>17189.736522363506</v>
      </c>
    </row>
    <row r="51" spans="1:9">
      <c r="C51" s="34"/>
      <c r="G51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selection activeCell="K13" sqref="K13"/>
    </sheetView>
  </sheetViews>
  <sheetFormatPr baseColWidth="10" defaultColWidth="8.7265625" defaultRowHeight="14.5"/>
  <cols>
    <col min="1" max="1" width="17.81640625" bestFit="1" customWidth="1"/>
    <col min="2" max="2" width="18.26953125" bestFit="1" customWidth="1"/>
    <col min="3" max="3" width="2" customWidth="1"/>
    <col min="4" max="4" width="7.81640625" bestFit="1" customWidth="1"/>
    <col min="5" max="5" width="17.26953125" bestFit="1" customWidth="1"/>
    <col min="6" max="6" width="2.26953125" customWidth="1"/>
    <col min="7" max="7" width="17.26953125" bestFit="1" customWidth="1"/>
    <col min="9" max="9" width="10.1796875" bestFit="1" customWidth="1"/>
    <col min="10" max="10" width="13.08984375" bestFit="1" customWidth="1"/>
    <col min="11" max="11" width="10.08984375" bestFit="1" customWidth="1"/>
  </cols>
  <sheetData>
    <row r="1" spans="1:11">
      <c r="A1" s="7" t="s">
        <v>29</v>
      </c>
      <c r="B1" s="7" t="s">
        <v>52</v>
      </c>
      <c r="D1">
        <v>6.5595699999999999</v>
      </c>
      <c r="E1" s="7" t="s">
        <v>52</v>
      </c>
      <c r="G1" s="7" t="s">
        <v>53</v>
      </c>
    </row>
    <row r="2" spans="1:11">
      <c r="A2" s="55">
        <v>1991</v>
      </c>
      <c r="B2" s="58">
        <f>'CNAV CORRIGE'!I10</f>
        <v>34925.29494</v>
      </c>
      <c r="C2" s="56"/>
      <c r="D2" s="57">
        <v>1.677</v>
      </c>
      <c r="E2" s="58">
        <f t="shared" ref="E2:E26" si="0">B2*D2</f>
        <v>58569.719614380003</v>
      </c>
      <c r="G2" s="41">
        <v>28639.72</v>
      </c>
      <c r="I2" s="41">
        <f>G2/D2</f>
        <v>17077.948717948719</v>
      </c>
      <c r="J2" s="25">
        <f>I2*$D$1</f>
        <v>112024.00007179487</v>
      </c>
    </row>
    <row r="3" spans="1:11">
      <c r="A3" s="55">
        <v>1992</v>
      </c>
      <c r="B3" s="58">
        <f>'CNAV CORRIGE'!I18</f>
        <v>40718.914730000004</v>
      </c>
      <c r="C3" s="56"/>
      <c r="D3" s="57">
        <v>1.623</v>
      </c>
      <c r="E3" s="58">
        <f t="shared" si="0"/>
        <v>66086.798606790006</v>
      </c>
      <c r="G3" s="41">
        <v>36002.04</v>
      </c>
      <c r="I3" s="41">
        <f t="shared" ref="I3:I26" si="1">G3/D3</f>
        <v>22182.402957486138</v>
      </c>
      <c r="J3" s="25">
        <f>I3*$D$1</f>
        <v>145507.02496783735</v>
      </c>
    </row>
    <row r="4" spans="1:11" ht="15.5">
      <c r="A4" s="55">
        <v>1993</v>
      </c>
      <c r="B4" s="58">
        <f>'CNAV CORRIGE'!I26</f>
        <v>56187.456526289607</v>
      </c>
      <c r="C4" s="56"/>
      <c r="D4" s="57">
        <v>1.623</v>
      </c>
      <c r="E4" s="58">
        <f t="shared" si="0"/>
        <v>91192.241942168039</v>
      </c>
      <c r="G4" s="41">
        <v>44216.54</v>
      </c>
      <c r="I4" s="41">
        <f t="shared" si="1"/>
        <v>27243.709180529884</v>
      </c>
      <c r="J4" s="25">
        <f t="shared" ref="J4:J9" si="2">I4*$D$1</f>
        <v>178707.01742932841</v>
      </c>
      <c r="K4" s="38"/>
    </row>
    <row r="5" spans="1:11">
      <c r="A5" s="55">
        <v>1994</v>
      </c>
      <c r="B5" s="58">
        <f>'CNAV CORRIGE'!I34</f>
        <v>48259.808722448011</v>
      </c>
      <c r="C5" s="56"/>
      <c r="D5" s="57">
        <v>1.595</v>
      </c>
      <c r="E5" s="58">
        <f t="shared" si="0"/>
        <v>76974.394912304575</v>
      </c>
      <c r="G5" s="41">
        <v>47704.38</v>
      </c>
      <c r="I5" s="41">
        <f t="shared" si="1"/>
        <v>29908.702194357367</v>
      </c>
      <c r="J5" s="25">
        <f t="shared" si="2"/>
        <v>196188.22565304075</v>
      </c>
    </row>
    <row r="6" spans="1:11">
      <c r="A6" s="55">
        <v>1995</v>
      </c>
      <c r="B6" s="58">
        <f>'CNAV CORRIGE'!I44</f>
        <v>76643.924459999995</v>
      </c>
      <c r="C6" s="56"/>
      <c r="D6" s="57">
        <v>1.577</v>
      </c>
      <c r="E6" s="58">
        <f t="shared" si="0"/>
        <v>120867.46887341999</v>
      </c>
      <c r="G6" s="41">
        <v>140146.81</v>
      </c>
      <c r="I6" s="41">
        <f t="shared" si="1"/>
        <v>88869.251743817382</v>
      </c>
      <c r="J6" s="25">
        <f t="shared" si="2"/>
        <v>582944.07766119216</v>
      </c>
    </row>
    <row r="7" spans="1:11">
      <c r="A7" s="55">
        <v>1996</v>
      </c>
      <c r="B7" s="58">
        <f>'CNAV CORRIGE'!I49</f>
        <v>17189.736522363506</v>
      </c>
      <c r="C7" s="56"/>
      <c r="D7" s="57">
        <v>1.538</v>
      </c>
      <c r="E7" s="58">
        <f t="shared" si="0"/>
        <v>26437.814771395071</v>
      </c>
      <c r="G7" s="41">
        <v>27014.51</v>
      </c>
      <c r="I7" s="41">
        <f t="shared" si="1"/>
        <v>17564.700910273081</v>
      </c>
      <c r="J7" s="25">
        <f t="shared" si="2"/>
        <v>115216.88514999999</v>
      </c>
    </row>
    <row r="8" spans="1:11">
      <c r="A8" s="3">
        <v>1997</v>
      </c>
      <c r="B8" s="41">
        <f>45288/D1</f>
        <v>6904.1110926478414</v>
      </c>
      <c r="D8" s="35">
        <v>1.522</v>
      </c>
      <c r="E8" s="42">
        <f t="shared" si="0"/>
        <v>10508.057083010015</v>
      </c>
      <c r="F8" s="39"/>
      <c r="G8" s="42">
        <f>E8</f>
        <v>10508.057083010015</v>
      </c>
      <c r="I8" s="41">
        <f t="shared" si="1"/>
        <v>6904.1110926478414</v>
      </c>
      <c r="J8" s="25">
        <f t="shared" si="2"/>
        <v>45288</v>
      </c>
    </row>
    <row r="9" spans="1:11">
      <c r="A9" s="3">
        <v>1999</v>
      </c>
      <c r="B9" s="41">
        <f>51987/D1</f>
        <v>7925.3670591212531</v>
      </c>
      <c r="D9" s="35">
        <v>1.4870000000000001</v>
      </c>
      <c r="E9" s="42">
        <f t="shared" si="0"/>
        <v>11785.020816913304</v>
      </c>
      <c r="F9" s="39"/>
      <c r="G9" s="42">
        <f t="shared" ref="G9:G26" si="3">E9</f>
        <v>11785.020816913304</v>
      </c>
      <c r="I9" s="41">
        <f t="shared" si="1"/>
        <v>7925.3670591212531</v>
      </c>
      <c r="J9" s="25">
        <f t="shared" si="2"/>
        <v>51987</v>
      </c>
    </row>
    <row r="10" spans="1:11">
      <c r="A10" s="3">
        <v>2002</v>
      </c>
      <c r="B10" s="41">
        <v>9208</v>
      </c>
      <c r="D10" s="35">
        <v>1.4179999999999999</v>
      </c>
      <c r="E10" s="42">
        <f t="shared" si="0"/>
        <v>13056.944</v>
      </c>
      <c r="F10" s="39"/>
      <c r="G10" s="42">
        <f t="shared" si="3"/>
        <v>13056.944</v>
      </c>
      <c r="I10" s="41">
        <f t="shared" si="1"/>
        <v>9208</v>
      </c>
      <c r="J10" s="25"/>
    </row>
    <row r="11" spans="1:11">
      <c r="A11" s="3">
        <v>2003</v>
      </c>
      <c r="B11" s="41">
        <v>9031</v>
      </c>
      <c r="D11" s="35">
        <v>1.395</v>
      </c>
      <c r="E11" s="42">
        <f t="shared" si="0"/>
        <v>12598.245000000001</v>
      </c>
      <c r="F11" s="39"/>
      <c r="G11" s="42">
        <f t="shared" si="3"/>
        <v>12598.245000000001</v>
      </c>
      <c r="I11" s="41">
        <f t="shared" si="1"/>
        <v>9031</v>
      </c>
      <c r="J11" s="25"/>
    </row>
    <row r="12" spans="1:11">
      <c r="A12" s="3">
        <v>2004</v>
      </c>
      <c r="B12" s="41">
        <v>18000</v>
      </c>
      <c r="D12" s="35">
        <v>1.3740000000000001</v>
      </c>
      <c r="E12" s="42">
        <f t="shared" si="0"/>
        <v>24732.000000000004</v>
      </c>
      <c r="F12" s="39"/>
      <c r="G12" s="42">
        <f t="shared" si="3"/>
        <v>24732.000000000004</v>
      </c>
      <c r="I12" s="41">
        <f t="shared" si="1"/>
        <v>18000</v>
      </c>
      <c r="J12" s="25"/>
    </row>
    <row r="13" spans="1:11">
      <c r="A13" s="3">
        <v>2005</v>
      </c>
      <c r="B13" s="41">
        <v>18000</v>
      </c>
      <c r="D13" s="35">
        <v>1.3480000000000001</v>
      </c>
      <c r="E13" s="42">
        <f t="shared" si="0"/>
        <v>24264</v>
      </c>
      <c r="F13" s="39"/>
      <c r="G13" s="42">
        <f t="shared" si="3"/>
        <v>24264</v>
      </c>
      <c r="I13" s="41">
        <f t="shared" si="1"/>
        <v>18000</v>
      </c>
      <c r="J13" s="25"/>
    </row>
    <row r="14" spans="1:11">
      <c r="A14" s="3">
        <v>2006</v>
      </c>
      <c r="B14" s="41">
        <v>22000</v>
      </c>
      <c r="D14" s="35">
        <v>1.3240000000000001</v>
      </c>
      <c r="E14" s="42">
        <f t="shared" si="0"/>
        <v>29128</v>
      </c>
      <c r="F14" s="39"/>
      <c r="G14" s="42">
        <f t="shared" si="3"/>
        <v>29128</v>
      </c>
      <c r="I14" s="41">
        <f t="shared" si="1"/>
        <v>22000</v>
      </c>
      <c r="J14" s="25"/>
    </row>
    <row r="15" spans="1:11">
      <c r="A15" s="3">
        <v>2007</v>
      </c>
      <c r="B15" s="41">
        <v>17288.52</v>
      </c>
      <c r="D15" s="35">
        <v>1.302</v>
      </c>
      <c r="E15" s="42">
        <f t="shared" si="0"/>
        <v>22509.653040000001</v>
      </c>
      <c r="F15" s="39"/>
      <c r="G15" s="42">
        <f t="shared" si="3"/>
        <v>22509.653040000001</v>
      </c>
      <c r="I15" s="41">
        <f t="shared" si="1"/>
        <v>17288.52</v>
      </c>
      <c r="J15" s="25"/>
    </row>
    <row r="16" spans="1:11">
      <c r="A16" s="3">
        <v>2008</v>
      </c>
      <c r="B16" s="41">
        <v>15057.53</v>
      </c>
      <c r="D16" s="35">
        <v>1.29</v>
      </c>
      <c r="E16" s="42">
        <f t="shared" si="0"/>
        <v>19424.2137</v>
      </c>
      <c r="F16" s="39"/>
      <c r="G16" s="42">
        <f t="shared" si="3"/>
        <v>19424.2137</v>
      </c>
      <c r="I16" s="41">
        <f t="shared" si="1"/>
        <v>15057.53</v>
      </c>
      <c r="J16" s="25"/>
    </row>
    <row r="17" spans="1:10">
      <c r="A17" s="3">
        <v>2010</v>
      </c>
      <c r="B17" s="41">
        <v>18000</v>
      </c>
      <c r="D17" s="35">
        <v>1.2669999999999999</v>
      </c>
      <c r="E17" s="42">
        <f t="shared" si="0"/>
        <v>22806</v>
      </c>
      <c r="F17" s="39"/>
      <c r="G17" s="42">
        <f t="shared" si="3"/>
        <v>22806</v>
      </c>
      <c r="I17" s="41">
        <f t="shared" si="1"/>
        <v>18000</v>
      </c>
      <c r="J17" s="25"/>
    </row>
    <row r="18" spans="1:10">
      <c r="A18" s="3">
        <v>2011</v>
      </c>
      <c r="B18" s="41">
        <v>10500</v>
      </c>
      <c r="D18" s="35">
        <v>1.256</v>
      </c>
      <c r="E18" s="42">
        <f t="shared" si="0"/>
        <v>13188</v>
      </c>
      <c r="F18" s="39"/>
      <c r="G18" s="42">
        <f t="shared" si="3"/>
        <v>13188</v>
      </c>
      <c r="I18" s="41">
        <f t="shared" si="1"/>
        <v>10500</v>
      </c>
      <c r="J18" s="25"/>
    </row>
    <row r="19" spans="1:10">
      <c r="A19" s="3">
        <v>2012</v>
      </c>
      <c r="B19" s="41">
        <v>27117.040000000001</v>
      </c>
      <c r="D19" s="35">
        <v>1.2310000000000001</v>
      </c>
      <c r="E19" s="42">
        <f t="shared" si="0"/>
        <v>33381.076240000002</v>
      </c>
      <c r="F19" s="39"/>
      <c r="G19" s="42">
        <f t="shared" si="3"/>
        <v>33381.076240000002</v>
      </c>
      <c r="I19" s="41">
        <f t="shared" si="1"/>
        <v>27117.040000000001</v>
      </c>
      <c r="J19" s="25"/>
    </row>
    <row r="20" spans="1:10">
      <c r="A20" s="20">
        <v>2013</v>
      </c>
      <c r="B20" s="48">
        <v>33600</v>
      </c>
      <c r="C20" s="36"/>
      <c r="D20" s="37">
        <v>1.2050000000000001</v>
      </c>
      <c r="E20" s="48">
        <f t="shared" si="0"/>
        <v>40488</v>
      </c>
      <c r="F20" s="36"/>
      <c r="G20" s="48">
        <v>39988.17</v>
      </c>
      <c r="H20" s="36"/>
      <c r="I20" s="48">
        <f t="shared" si="1"/>
        <v>33185.20331950207</v>
      </c>
      <c r="J20" s="26"/>
    </row>
    <row r="21" spans="1:10">
      <c r="A21" s="3">
        <v>2014</v>
      </c>
      <c r="B21" s="41">
        <v>36000</v>
      </c>
      <c r="D21" s="35">
        <v>1.1910000000000001</v>
      </c>
      <c r="E21" s="42">
        <f t="shared" si="0"/>
        <v>42876</v>
      </c>
      <c r="F21" s="39"/>
      <c r="G21" s="42">
        <f t="shared" si="3"/>
        <v>42876</v>
      </c>
      <c r="I21" s="41">
        <f t="shared" si="1"/>
        <v>36000</v>
      </c>
      <c r="J21" s="25"/>
    </row>
    <row r="22" spans="1:10">
      <c r="A22" s="3">
        <v>2015</v>
      </c>
      <c r="B22" s="41">
        <v>36000</v>
      </c>
      <c r="D22" s="35">
        <v>1.1910000000000001</v>
      </c>
      <c r="E22" s="42">
        <f t="shared" si="0"/>
        <v>42876</v>
      </c>
      <c r="F22" s="39"/>
      <c r="G22" s="42">
        <f t="shared" si="3"/>
        <v>42876</v>
      </c>
      <c r="I22" s="41">
        <f t="shared" si="1"/>
        <v>36000</v>
      </c>
      <c r="J22" s="25"/>
    </row>
    <row r="23" spans="1:10">
      <c r="A23" s="3">
        <v>2016</v>
      </c>
      <c r="B23" s="41">
        <v>36000</v>
      </c>
      <c r="D23" s="35">
        <v>1.19</v>
      </c>
      <c r="E23" s="42">
        <f t="shared" si="0"/>
        <v>42840</v>
      </c>
      <c r="F23" s="39"/>
      <c r="G23" s="42">
        <f t="shared" si="3"/>
        <v>42840</v>
      </c>
      <c r="I23" s="41">
        <f t="shared" si="1"/>
        <v>36000</v>
      </c>
      <c r="J23" s="25"/>
    </row>
    <row r="24" spans="1:10">
      <c r="A24" s="3">
        <v>2017</v>
      </c>
      <c r="B24" s="41">
        <v>36000</v>
      </c>
      <c r="D24" s="35">
        <v>1.19</v>
      </c>
      <c r="E24" s="42">
        <f t="shared" si="0"/>
        <v>42840</v>
      </c>
      <c r="F24" s="39"/>
      <c r="G24" s="42">
        <f t="shared" si="3"/>
        <v>42840</v>
      </c>
      <c r="I24" s="41">
        <f t="shared" si="1"/>
        <v>36000</v>
      </c>
      <c r="J24" s="25"/>
    </row>
    <row r="25" spans="1:10">
      <c r="A25" s="3">
        <v>2018</v>
      </c>
      <c r="B25" s="41">
        <v>36000</v>
      </c>
      <c r="D25" s="35">
        <v>1.181</v>
      </c>
      <c r="E25" s="42">
        <f t="shared" si="0"/>
        <v>42516</v>
      </c>
      <c r="F25" s="39"/>
      <c r="G25" s="42">
        <f t="shared" si="3"/>
        <v>42516</v>
      </c>
      <c r="I25" s="41">
        <f t="shared" si="1"/>
        <v>36000</v>
      </c>
      <c r="J25" s="25"/>
    </row>
    <row r="26" spans="1:10">
      <c r="A26" s="3">
        <v>2025</v>
      </c>
      <c r="B26" s="41">
        <v>22031</v>
      </c>
      <c r="D26" s="35">
        <v>1.0089999999999999</v>
      </c>
      <c r="E26" s="42">
        <f t="shared" si="0"/>
        <v>22229.278999999999</v>
      </c>
      <c r="F26" s="40"/>
      <c r="G26" s="42">
        <f t="shared" si="3"/>
        <v>22229.278999999999</v>
      </c>
      <c r="I26" s="41">
        <f t="shared" si="1"/>
        <v>22031</v>
      </c>
      <c r="J26" s="25"/>
    </row>
    <row r="27" spans="1:10">
      <c r="E27" s="41"/>
      <c r="G27" s="41"/>
    </row>
    <row r="28" spans="1:10">
      <c r="A28" s="8" t="s">
        <v>30</v>
      </c>
      <c r="B28" s="9"/>
      <c r="D28" s="11"/>
      <c r="E28" s="41">
        <f>SUM(E2:E26)</f>
        <v>954174.92760038096</v>
      </c>
      <c r="G28" s="41">
        <f>SUM(G2:G27)</f>
        <v>837270.65887992328</v>
      </c>
    </row>
    <row r="29" spans="1:10">
      <c r="A29" s="8" t="s">
        <v>31</v>
      </c>
      <c r="B29" s="9"/>
      <c r="E29" s="41">
        <f>E28/25</f>
        <v>38166.997104015238</v>
      </c>
      <c r="G29" s="41">
        <f>G28/25</f>
        <v>33490.826355196928</v>
      </c>
    </row>
    <row r="30" spans="1:10">
      <c r="E30" s="41"/>
      <c r="G30" s="41"/>
    </row>
    <row r="31" spans="1:10" ht="15.5">
      <c r="A31" s="10" t="s">
        <v>32</v>
      </c>
      <c r="E31" s="41"/>
      <c r="G31" s="41"/>
    </row>
    <row r="32" spans="1:10">
      <c r="A32" t="s">
        <v>33</v>
      </c>
      <c r="B32" s="12"/>
      <c r="D32" s="12">
        <v>0.5</v>
      </c>
      <c r="E32" s="41">
        <f>E29*D32</f>
        <v>19083.498552007619</v>
      </c>
      <c r="G32" s="41">
        <f>G29*D32</f>
        <v>16745.413177598464</v>
      </c>
    </row>
    <row r="33" spans="1:7">
      <c r="A33" s="13" t="s">
        <v>34</v>
      </c>
      <c r="B33" s="14"/>
      <c r="D33" s="14"/>
      <c r="E33" s="41">
        <f>(E32/167)*121</f>
        <v>13826.966016724084</v>
      </c>
      <c r="G33" s="41">
        <f>(G32/167)*121</f>
        <v>12132.904158619247</v>
      </c>
    </row>
    <row r="34" spans="1:7" ht="15.5">
      <c r="A34" s="15" t="s">
        <v>35</v>
      </c>
      <c r="E34" s="43">
        <f>E33/12</f>
        <v>1152.2471680603403</v>
      </c>
      <c r="G34" s="41">
        <f>G33/12</f>
        <v>1011.075346551604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3"/>
  <sheetViews>
    <sheetView topLeftCell="A29" workbookViewId="0">
      <selection activeCell="D36" sqref="D36"/>
    </sheetView>
  </sheetViews>
  <sheetFormatPr baseColWidth="10" defaultColWidth="8.7265625" defaultRowHeight="14.5"/>
  <cols>
    <col min="1" max="1" width="20" customWidth="1"/>
    <col min="2" max="2" width="30.54296875" bestFit="1" customWidth="1"/>
    <col min="3" max="8" width="15" customWidth="1"/>
    <col min="9" max="9" width="10.81640625" bestFit="1" customWidth="1"/>
    <col min="10" max="10" width="3.26953125" customWidth="1"/>
    <col min="11" max="11" width="10.54296875" customWidth="1"/>
    <col min="12" max="12" width="10.1796875" bestFit="1" customWidth="1"/>
  </cols>
  <sheetData>
    <row r="1" spans="1:12" ht="29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7" t="s">
        <v>45</v>
      </c>
      <c r="H1" s="1" t="s">
        <v>7</v>
      </c>
      <c r="I1" s="1" t="s">
        <v>8</v>
      </c>
      <c r="K1" s="16" t="s">
        <v>38</v>
      </c>
    </row>
    <row r="2" spans="1:12">
      <c r="A2" s="2">
        <v>1990</v>
      </c>
      <c r="B2" s="3"/>
      <c r="C2" s="3"/>
      <c r="D2" s="3"/>
      <c r="E2" s="3"/>
      <c r="F2" s="3"/>
      <c r="G2" s="3"/>
      <c r="H2" s="3"/>
      <c r="K2">
        <v>6.5595699999999999</v>
      </c>
    </row>
    <row r="3" spans="1:12">
      <c r="A3" s="3"/>
      <c r="B3" s="21" t="s">
        <v>36</v>
      </c>
      <c r="C3" s="24">
        <v>33120</v>
      </c>
      <c r="D3" s="22">
        <v>5049.1099999999997</v>
      </c>
      <c r="E3" s="4">
        <v>19976.919999999998</v>
      </c>
      <c r="F3" s="3" t="s">
        <v>9</v>
      </c>
      <c r="G3" s="4">
        <v>5049.1099999999997</v>
      </c>
      <c r="H3" s="3">
        <v>1.6890000000000001</v>
      </c>
      <c r="I3" s="4">
        <v>8527.9500000000007</v>
      </c>
    </row>
    <row r="4" spans="1:12">
      <c r="A4" s="3"/>
      <c r="B4" s="3" t="s">
        <v>43</v>
      </c>
      <c r="C4" s="25">
        <v>19791.71</v>
      </c>
      <c r="D4" s="22">
        <v>3017.23</v>
      </c>
      <c r="E4" s="4">
        <f>E3</f>
        <v>19976.919999999998</v>
      </c>
      <c r="F4" s="3" t="s">
        <v>9</v>
      </c>
      <c r="G4" s="4">
        <v>3017.23</v>
      </c>
      <c r="H4" s="3">
        <v>1.6890000000000001</v>
      </c>
      <c r="I4" s="4">
        <v>5096.1000000000004</v>
      </c>
    </row>
    <row r="5" spans="1:12">
      <c r="A5" s="5" t="s">
        <v>11</v>
      </c>
      <c r="B5" s="3" t="s">
        <v>40</v>
      </c>
      <c r="C5" s="25">
        <f>SUM(C3:C4)</f>
        <v>52911.71</v>
      </c>
      <c r="D5" s="22">
        <f>SUM(D3:D4)</f>
        <v>8066.34</v>
      </c>
      <c r="E5" s="4">
        <f>E4</f>
        <v>19976.919999999998</v>
      </c>
      <c r="F5" s="3" t="s">
        <v>9</v>
      </c>
      <c r="G5" s="4">
        <f>G3+G4</f>
        <v>8066.34</v>
      </c>
      <c r="H5" s="3">
        <v>1.6890000000000001</v>
      </c>
      <c r="I5" s="28">
        <f>SUM(I3:I4)</f>
        <v>13624.050000000001</v>
      </c>
      <c r="L5" s="18"/>
    </row>
    <row r="6" spans="1:12">
      <c r="A6" s="3"/>
      <c r="B6" s="3"/>
      <c r="C6" s="25"/>
      <c r="D6" s="22"/>
      <c r="E6" s="4"/>
      <c r="F6" s="3"/>
      <c r="G6" s="4"/>
      <c r="I6" s="11"/>
      <c r="L6" s="18"/>
    </row>
    <row r="7" spans="1:12">
      <c r="A7" s="2">
        <v>1991</v>
      </c>
      <c r="B7" s="3"/>
      <c r="C7" s="25"/>
      <c r="D7" s="22"/>
      <c r="E7" s="3"/>
      <c r="F7" s="3"/>
      <c r="G7" s="3"/>
      <c r="H7" s="3"/>
      <c r="I7" s="3"/>
      <c r="L7" s="18"/>
    </row>
    <row r="8" spans="1:12">
      <c r="A8" s="3"/>
      <c r="B8" s="3" t="s">
        <v>12</v>
      </c>
      <c r="C8" s="24">
        <v>112024</v>
      </c>
      <c r="D8" s="22">
        <v>17077.95</v>
      </c>
      <c r="E8" s="4">
        <v>21001.38</v>
      </c>
      <c r="F8" s="20"/>
      <c r="G8" s="4"/>
      <c r="H8" s="3"/>
      <c r="I8" s="4"/>
      <c r="L8" s="18"/>
    </row>
    <row r="9" spans="1:12">
      <c r="A9" s="3"/>
      <c r="B9" s="3" t="s">
        <v>13</v>
      </c>
      <c r="C9" s="25">
        <v>68913</v>
      </c>
      <c r="D9" s="22">
        <v>10505.72</v>
      </c>
      <c r="E9" s="4">
        <f>E8</f>
        <v>21001.38</v>
      </c>
      <c r="F9" s="20"/>
      <c r="G9" s="17"/>
      <c r="H9" s="3"/>
      <c r="I9" s="4"/>
      <c r="L9" s="18"/>
    </row>
    <row r="10" spans="1:12">
      <c r="A10" s="5" t="s">
        <v>14</v>
      </c>
      <c r="B10" s="20" t="s">
        <v>40</v>
      </c>
      <c r="C10" s="25">
        <f>SUM(C8:C9)</f>
        <v>180937</v>
      </c>
      <c r="D10" s="23">
        <f>SUM(D8:D9)</f>
        <v>27583.67</v>
      </c>
      <c r="E10" s="4">
        <f>E9</f>
        <v>21001.38</v>
      </c>
      <c r="F10" s="20" t="s">
        <v>24</v>
      </c>
      <c r="G10" s="17">
        <f>E9</f>
        <v>21001.38</v>
      </c>
      <c r="H10" s="3">
        <v>1.663</v>
      </c>
      <c r="I10" s="28">
        <f>G10*H10</f>
        <v>34925.29494</v>
      </c>
      <c r="L10" s="18"/>
    </row>
    <row r="11" spans="1:12">
      <c r="A11" s="3"/>
      <c r="B11" s="20"/>
      <c r="C11" s="25"/>
      <c r="D11" s="23"/>
      <c r="E11" s="4"/>
      <c r="F11" s="20"/>
      <c r="G11" s="4"/>
      <c r="H11" s="3"/>
      <c r="I11" s="3"/>
      <c r="L11" s="18"/>
    </row>
    <row r="12" spans="1:12">
      <c r="A12" s="2">
        <v>1992</v>
      </c>
      <c r="B12" s="3"/>
      <c r="C12" s="25"/>
      <c r="D12" s="22"/>
      <c r="E12" s="3"/>
      <c r="F12" s="3"/>
      <c r="G12" s="3"/>
      <c r="H12" s="3"/>
      <c r="I12" s="3"/>
    </row>
    <row r="13" spans="1:12">
      <c r="A13" s="3"/>
      <c r="B13" s="3" t="s">
        <v>12</v>
      </c>
      <c r="C13" s="25">
        <v>103829</v>
      </c>
      <c r="D13" s="22">
        <v>15828.63</v>
      </c>
      <c r="E13" s="4">
        <f>21970.95</f>
        <v>21970.95</v>
      </c>
      <c r="F13" s="20"/>
      <c r="G13" s="4"/>
      <c r="H13" s="3"/>
      <c r="I13" s="4"/>
    </row>
    <row r="14" spans="1:12">
      <c r="A14" s="3"/>
      <c r="B14" s="3" t="s">
        <v>42</v>
      </c>
      <c r="C14" s="25">
        <v>63512.61</v>
      </c>
      <c r="D14" s="22">
        <v>9682.43</v>
      </c>
      <c r="E14" s="4">
        <f t="shared" ref="E14:E15" si="0">E13</f>
        <v>21970.95</v>
      </c>
      <c r="F14" s="20"/>
      <c r="G14" s="17"/>
      <c r="H14" s="3"/>
      <c r="I14" s="4"/>
    </row>
    <row r="15" spans="1:12">
      <c r="A15" s="3"/>
      <c r="B15" s="20" t="s">
        <v>44</v>
      </c>
      <c r="C15" s="25">
        <f>C13+C14</f>
        <v>167341.60999999999</v>
      </c>
      <c r="D15" s="23">
        <f>SUM(D13:D14)</f>
        <v>25511.059999999998</v>
      </c>
      <c r="E15" s="4">
        <f t="shared" si="0"/>
        <v>21970.95</v>
      </c>
      <c r="F15" s="20" t="s">
        <v>24</v>
      </c>
      <c r="G15" s="29">
        <v>21970.63</v>
      </c>
      <c r="H15" s="3">
        <v>1.609</v>
      </c>
      <c r="I15" s="4">
        <v>4855.03</v>
      </c>
    </row>
    <row r="16" spans="1:12">
      <c r="A16" s="3"/>
      <c r="B16" s="3" t="s">
        <v>16</v>
      </c>
      <c r="C16" s="25">
        <v>16485</v>
      </c>
      <c r="D16" s="22">
        <v>2513.12</v>
      </c>
      <c r="E16" s="4">
        <f>E15</f>
        <v>21970.95</v>
      </c>
      <c r="F16" s="3" t="s">
        <v>9</v>
      </c>
      <c r="G16" s="19">
        <v>2513.12</v>
      </c>
      <c r="H16" s="3">
        <v>1.609</v>
      </c>
      <c r="I16" s="4">
        <v>4043.61</v>
      </c>
    </row>
    <row r="17" spans="1:11">
      <c r="A17" s="3"/>
      <c r="B17" s="3" t="s">
        <v>17</v>
      </c>
      <c r="C17" s="25">
        <v>5400</v>
      </c>
      <c r="D17" s="22">
        <v>823.22</v>
      </c>
      <c r="E17" s="4">
        <f t="shared" ref="E17" si="1">E16</f>
        <v>21970.95</v>
      </c>
      <c r="F17" s="3" t="s">
        <v>9</v>
      </c>
      <c r="G17" s="19">
        <v>823.22</v>
      </c>
      <c r="H17" s="3">
        <v>1.609</v>
      </c>
      <c r="I17" s="4">
        <v>1324.57</v>
      </c>
    </row>
    <row r="18" spans="1:11">
      <c r="A18" s="5" t="s">
        <v>19</v>
      </c>
      <c r="B18" s="3" t="s">
        <v>46</v>
      </c>
      <c r="C18" s="25">
        <f>SUM(C14:C17)</f>
        <v>252739.21999999997</v>
      </c>
      <c r="D18" s="22"/>
      <c r="E18" s="4"/>
      <c r="F18" s="3"/>
      <c r="G18" s="19">
        <f>SUM(G15:G17)</f>
        <v>25306.97</v>
      </c>
      <c r="H18" s="3">
        <v>1.609</v>
      </c>
      <c r="I18" s="28">
        <f>G18*H18</f>
        <v>40718.914730000004</v>
      </c>
      <c r="K18" s="11"/>
    </row>
    <row r="19" spans="1:11">
      <c r="A19" s="3"/>
      <c r="B19" s="3"/>
      <c r="C19" s="25"/>
      <c r="D19" s="22"/>
      <c r="E19" s="3"/>
      <c r="F19" s="3"/>
      <c r="G19" s="19"/>
      <c r="H19" s="3"/>
      <c r="I19" s="11"/>
    </row>
    <row r="20" spans="1:11">
      <c r="A20" s="2">
        <v>1993</v>
      </c>
      <c r="B20" s="3"/>
      <c r="C20" s="25"/>
      <c r="D20" s="22"/>
      <c r="E20" s="3"/>
      <c r="F20" s="3"/>
      <c r="G20" s="3"/>
      <c r="H20" s="3"/>
    </row>
    <row r="21" spans="1:11">
      <c r="A21" s="3"/>
      <c r="B21" s="3" t="s">
        <v>12</v>
      </c>
      <c r="C21" s="25">
        <v>99462</v>
      </c>
      <c r="D21" s="22">
        <v>15162.88</v>
      </c>
      <c r="E21" s="4"/>
      <c r="F21" s="3"/>
      <c r="G21" s="22"/>
      <c r="H21" s="22"/>
      <c r="I21" s="22"/>
    </row>
    <row r="22" spans="1:11">
      <c r="A22" s="3"/>
      <c r="B22" s="3" t="s">
        <v>37</v>
      </c>
      <c r="C22" s="25">
        <v>72191.009999999995</v>
      </c>
      <c r="D22" s="22">
        <v>11005.45</v>
      </c>
      <c r="E22" s="4"/>
      <c r="F22" s="3"/>
      <c r="G22" s="22"/>
      <c r="H22" s="22"/>
      <c r="I22" s="22"/>
    </row>
    <row r="23" spans="1:11">
      <c r="A23" s="3"/>
      <c r="B23" s="20" t="s">
        <v>44</v>
      </c>
      <c r="C23" s="25">
        <f>SUM(D21)</f>
        <v>15162.88</v>
      </c>
      <c r="D23" s="26">
        <f>SUM(D21:D22)</f>
        <v>26168.33</v>
      </c>
      <c r="E23" s="22">
        <v>22839.91</v>
      </c>
      <c r="F23" s="20" t="s">
        <v>24</v>
      </c>
      <c r="G23" s="23">
        <f>E23</f>
        <v>22839.91</v>
      </c>
      <c r="H23" s="3">
        <v>1.609</v>
      </c>
      <c r="I23" s="22">
        <f>G23*H23</f>
        <v>36749.41519</v>
      </c>
    </row>
    <row r="24" spans="1:11">
      <c r="A24" s="3"/>
      <c r="B24" s="3" t="s">
        <v>16</v>
      </c>
      <c r="C24" s="25">
        <v>70245</v>
      </c>
      <c r="D24" s="22">
        <f>C24/K2</f>
        <v>10708.781215841893</v>
      </c>
      <c r="E24" s="22">
        <v>22839.91</v>
      </c>
      <c r="F24" s="3" t="s">
        <v>9</v>
      </c>
      <c r="G24" s="22">
        <f>D24</f>
        <v>10708.781215841893</v>
      </c>
      <c r="H24" s="3">
        <v>1.609</v>
      </c>
      <c r="I24" s="22">
        <f t="shared" ref="I24:I25" si="2">G24*H24</f>
        <v>17230.428976289604</v>
      </c>
    </row>
    <row r="25" spans="1:11">
      <c r="A25" s="3"/>
      <c r="B25" s="3" t="s">
        <v>17</v>
      </c>
      <c r="C25" s="25">
        <v>9000</v>
      </c>
      <c r="D25" s="22">
        <v>1372.04</v>
      </c>
      <c r="E25" s="22">
        <v>22839.91</v>
      </c>
      <c r="F25" s="3" t="s">
        <v>9</v>
      </c>
      <c r="G25" s="22">
        <v>1372.04</v>
      </c>
      <c r="H25" s="3">
        <v>1.609</v>
      </c>
      <c r="I25" s="22">
        <f t="shared" si="2"/>
        <v>2207.6123600000001</v>
      </c>
    </row>
    <row r="26" spans="1:11">
      <c r="A26" s="5" t="s">
        <v>20</v>
      </c>
      <c r="B26" s="3" t="s">
        <v>46</v>
      </c>
      <c r="C26" s="25">
        <f>C23+C24+C25</f>
        <v>94407.88</v>
      </c>
      <c r="D26" s="25">
        <f>D23+D24+D25</f>
        <v>38249.151215841899</v>
      </c>
      <c r="E26" s="3"/>
      <c r="F26" s="3"/>
      <c r="G26" s="22">
        <f>SUM(G23:G25)</f>
        <v>34920.731215841894</v>
      </c>
      <c r="H26" s="3">
        <v>1.609</v>
      </c>
      <c r="I26" s="28">
        <f>G26*H26</f>
        <v>56187.456526289607</v>
      </c>
    </row>
    <row r="27" spans="1:11">
      <c r="A27" s="3"/>
      <c r="B27" s="3"/>
      <c r="C27" s="25"/>
      <c r="D27" s="22"/>
      <c r="E27" s="3"/>
      <c r="F27" s="3"/>
      <c r="G27" s="3"/>
    </row>
    <row r="28" spans="1:11">
      <c r="A28" s="2">
        <v>1994</v>
      </c>
      <c r="B28" s="3"/>
      <c r="C28" s="25"/>
      <c r="D28" s="22"/>
      <c r="E28" s="3"/>
      <c r="F28" s="3"/>
      <c r="G28" s="3"/>
      <c r="H28" s="3"/>
    </row>
    <row r="29" spans="1:11">
      <c r="A29" s="3"/>
      <c r="B29" s="3" t="s">
        <v>36</v>
      </c>
      <c r="C29" s="25">
        <v>139800</v>
      </c>
      <c r="D29" s="22">
        <f>C29/K2</f>
        <v>21312.372609789971</v>
      </c>
      <c r="E29" s="4"/>
      <c r="F29" s="3"/>
      <c r="G29" s="4"/>
      <c r="H29" s="3"/>
      <c r="I29" s="22"/>
    </row>
    <row r="30" spans="1:11">
      <c r="A30" s="3"/>
      <c r="B30" s="3" t="s">
        <v>21</v>
      </c>
      <c r="C30" s="25">
        <v>84581.68</v>
      </c>
      <c r="D30" s="22">
        <f>C30/K2</f>
        <v>12894.393992289128</v>
      </c>
      <c r="E30" s="4"/>
      <c r="F30" s="3"/>
      <c r="G30" s="4"/>
      <c r="H30" s="3"/>
      <c r="I30" s="22"/>
    </row>
    <row r="31" spans="1:11">
      <c r="A31" s="3"/>
      <c r="B31" s="20" t="s">
        <v>44</v>
      </c>
      <c r="C31" s="25">
        <f>SUM(C29:C30)</f>
        <v>224381.68</v>
      </c>
      <c r="D31" s="22">
        <f>SUM(D29:D30)</f>
        <v>34206.7666020791</v>
      </c>
      <c r="E31" s="17">
        <v>23342.99</v>
      </c>
      <c r="F31" s="17" t="s">
        <v>24</v>
      </c>
      <c r="G31" s="22">
        <f>E31</f>
        <v>23342.99</v>
      </c>
      <c r="H31" s="3">
        <v>1.581</v>
      </c>
      <c r="I31" s="22">
        <f>G31*H31</f>
        <v>36905.267189999999</v>
      </c>
    </row>
    <row r="32" spans="1:11">
      <c r="A32" s="3"/>
      <c r="B32" s="3" t="s">
        <v>16</v>
      </c>
      <c r="C32" s="25">
        <v>30760</v>
      </c>
      <c r="D32" s="22">
        <f>C32/K2</f>
        <v>4689.3317702227432</v>
      </c>
      <c r="E32" s="4">
        <v>23342.99</v>
      </c>
      <c r="F32" s="3" t="s">
        <v>9</v>
      </c>
      <c r="G32" s="4">
        <f>D32</f>
        <v>4689.3317702227432</v>
      </c>
      <c r="H32" s="3">
        <v>1.581</v>
      </c>
      <c r="I32" s="22">
        <f>G32*H32</f>
        <v>7413.8335287221571</v>
      </c>
    </row>
    <row r="33" spans="1:11">
      <c r="A33" s="3"/>
      <c r="B33" s="3" t="s">
        <v>47</v>
      </c>
      <c r="C33" s="25">
        <v>16350</v>
      </c>
      <c r="D33" s="22">
        <f>C33/K2</f>
        <v>2492.5414318316598</v>
      </c>
      <c r="E33" s="4">
        <v>23342.99</v>
      </c>
      <c r="F33" s="3" t="s">
        <v>9</v>
      </c>
      <c r="G33" s="4">
        <f>D33</f>
        <v>2492.5414318316598</v>
      </c>
      <c r="H33" s="3">
        <v>1.581</v>
      </c>
      <c r="I33" s="22">
        <f>G33*H33</f>
        <v>3940.7080037258538</v>
      </c>
    </row>
    <row r="34" spans="1:11">
      <c r="A34" s="5" t="s">
        <v>23</v>
      </c>
      <c r="B34" s="3" t="s">
        <v>46</v>
      </c>
      <c r="C34" s="25">
        <f>C31+C32+C33</f>
        <v>271491.68</v>
      </c>
      <c r="D34" s="22">
        <f>D31+D32+D33</f>
        <v>41388.639804133505</v>
      </c>
      <c r="E34" s="3"/>
      <c r="F34" s="3"/>
      <c r="G34" s="4">
        <f>SUM(G31:G33)</f>
        <v>30524.863202054403</v>
      </c>
      <c r="H34" s="3">
        <v>1.581</v>
      </c>
      <c r="I34" s="30">
        <f>SUM(I31:I33)</f>
        <v>48259.808722448011</v>
      </c>
    </row>
    <row r="35" spans="1:11">
      <c r="A35" s="5"/>
      <c r="B35" s="3"/>
      <c r="C35" s="25">
        <f>C29+C32+C33</f>
        <v>186910</v>
      </c>
      <c r="D35" s="22"/>
      <c r="E35" s="3"/>
      <c r="F35" s="3"/>
      <c r="G35" s="3"/>
      <c r="H35" s="3"/>
    </row>
    <row r="36" spans="1:11">
      <c r="A36" s="2">
        <v>1995</v>
      </c>
      <c r="B36" s="3"/>
      <c r="C36" s="25"/>
      <c r="D36" s="22"/>
      <c r="E36" s="3"/>
      <c r="F36" s="3"/>
      <c r="G36" s="3"/>
      <c r="H36" s="3"/>
      <c r="K36" s="11"/>
    </row>
    <row r="37" spans="1:11">
      <c r="A37" s="3"/>
      <c r="B37" s="3" t="s">
        <v>36</v>
      </c>
      <c r="C37" s="26">
        <v>70313</v>
      </c>
      <c r="D37" s="22">
        <f>C37/K2</f>
        <v>10719.147749014037</v>
      </c>
      <c r="E37" s="17"/>
      <c r="F37" s="17"/>
      <c r="G37" s="17"/>
      <c r="H37" s="3"/>
      <c r="I37" s="4"/>
    </row>
    <row r="38" spans="1:11">
      <c r="A38" s="3"/>
      <c r="B38" s="3" t="s">
        <v>55</v>
      </c>
      <c r="C38" s="26">
        <v>448344.41</v>
      </c>
      <c r="D38" s="22">
        <f>C38/K2</f>
        <v>68349.664688386591</v>
      </c>
      <c r="E38" s="17"/>
      <c r="F38" s="17"/>
      <c r="G38" s="17"/>
      <c r="H38" s="3"/>
      <c r="I38" s="4"/>
    </row>
    <row r="39" spans="1:11">
      <c r="A39" s="3"/>
      <c r="B39" s="32" t="s">
        <v>48</v>
      </c>
      <c r="C39" s="33">
        <f>SUM(C37:C38)</f>
        <v>518657.41</v>
      </c>
      <c r="D39" s="22">
        <f>C39/K2</f>
        <v>79068.812437400615</v>
      </c>
      <c r="E39" s="17"/>
      <c r="F39" s="17"/>
      <c r="G39" s="17"/>
      <c r="H39" s="3"/>
      <c r="I39" s="4"/>
    </row>
    <row r="40" spans="1:11">
      <c r="A40" s="3"/>
      <c r="B40" s="3" t="s">
        <v>56</v>
      </c>
      <c r="C40" s="26">
        <v>41278</v>
      </c>
      <c r="D40" s="22">
        <f>C40/K2</f>
        <v>6292.7905335258256</v>
      </c>
      <c r="E40" s="17"/>
      <c r="F40" s="17"/>
      <c r="G40" s="17"/>
      <c r="H40" s="3"/>
      <c r="I40" s="4"/>
    </row>
    <row r="41" spans="1:11">
      <c r="A41" s="3"/>
      <c r="B41" s="32" t="s">
        <v>49</v>
      </c>
      <c r="C41" s="31">
        <f>C39+C40</f>
        <v>559935.40999999992</v>
      </c>
      <c r="D41" s="22">
        <f>D39+D40</f>
        <v>85361.60297092644</v>
      </c>
      <c r="E41" s="17">
        <v>31157.040000000001</v>
      </c>
      <c r="F41" s="17" t="s">
        <v>24</v>
      </c>
      <c r="G41" s="17">
        <v>31157.040000000001</v>
      </c>
      <c r="H41" s="3">
        <v>1.5629999999999999</v>
      </c>
      <c r="I41" s="4">
        <f>G41*H41</f>
        <v>48698.453520000003</v>
      </c>
    </row>
    <row r="42" spans="1:11">
      <c r="A42" s="3"/>
      <c r="B42" s="3" t="s">
        <v>50</v>
      </c>
      <c r="C42" s="25">
        <v>34700</v>
      </c>
      <c r="D42" s="22">
        <f>C42/K2</f>
        <v>5289.9808981381402</v>
      </c>
      <c r="E42" s="4">
        <v>37157.040000000001</v>
      </c>
      <c r="F42" s="3" t="s">
        <v>9</v>
      </c>
      <c r="G42" s="4">
        <f>D42</f>
        <v>5289.9808981381402</v>
      </c>
      <c r="H42" s="3">
        <v>1.5629999999999999</v>
      </c>
      <c r="I42" s="4">
        <f>G42*H42</f>
        <v>8268.2401437899134</v>
      </c>
    </row>
    <row r="43" spans="1:11">
      <c r="A43" s="3"/>
      <c r="B43" s="3" t="s">
        <v>51</v>
      </c>
      <c r="C43" s="25">
        <v>11615</v>
      </c>
      <c r="D43" s="22">
        <f>C43/K2</f>
        <v>1770.6953352125215</v>
      </c>
      <c r="E43" s="4">
        <v>37157.040000000001</v>
      </c>
      <c r="F43" s="3" t="s">
        <v>9</v>
      </c>
      <c r="G43" s="4">
        <f>D43</f>
        <v>1770.6953352125215</v>
      </c>
      <c r="H43" s="3">
        <v>1.5629999999999999</v>
      </c>
      <c r="I43" s="4">
        <f>G43*H43</f>
        <v>2767.5968089371709</v>
      </c>
      <c r="K43" s="11"/>
    </row>
    <row r="44" spans="1:11">
      <c r="A44" s="5" t="s">
        <v>27</v>
      </c>
      <c r="B44" s="3" t="s">
        <v>46</v>
      </c>
      <c r="C44" s="25">
        <f>C41+C42+C43</f>
        <v>606250.40999999992</v>
      </c>
      <c r="D44" s="22">
        <f>D41+D42+D43</f>
        <v>92422.279204277103</v>
      </c>
      <c r="E44" s="3"/>
      <c r="F44" s="3"/>
      <c r="G44" s="4">
        <f>G41+G42+G43</f>
        <v>38217.716233350664</v>
      </c>
      <c r="H44" s="3">
        <v>1.5629999999999999</v>
      </c>
      <c r="I44" s="30">
        <f>G44*H44</f>
        <v>59734.290472727087</v>
      </c>
      <c r="K44" s="11"/>
    </row>
    <row r="45" spans="1:11">
      <c r="A45" s="5"/>
      <c r="B45" s="3"/>
      <c r="C45" s="47"/>
      <c r="D45" s="22"/>
      <c r="E45" s="25"/>
      <c r="F45" s="3"/>
      <c r="G45" s="3"/>
      <c r="H45" s="3"/>
    </row>
    <row r="46" spans="1:11">
      <c r="A46" s="2">
        <v>1996</v>
      </c>
      <c r="B46" s="3"/>
      <c r="C46" s="25"/>
      <c r="D46" s="22"/>
      <c r="E46" s="3"/>
      <c r="F46" s="3"/>
      <c r="G46" s="3"/>
      <c r="H46" s="3"/>
    </row>
    <row r="47" spans="1:11">
      <c r="A47" s="3"/>
      <c r="B47" s="3" t="s">
        <v>57</v>
      </c>
      <c r="C47" s="25">
        <v>23587.200000000001</v>
      </c>
      <c r="D47" s="22">
        <f>C47/K2</f>
        <v>3595.8454593822462</v>
      </c>
      <c r="E47" s="3"/>
      <c r="F47" s="3"/>
      <c r="G47" s="22"/>
      <c r="H47" s="3"/>
      <c r="I47" s="41"/>
    </row>
    <row r="48" spans="1:11">
      <c r="A48" s="3"/>
      <c r="B48" s="3" t="s">
        <v>58</v>
      </c>
      <c r="C48" s="25">
        <v>55827.8</v>
      </c>
      <c r="D48" s="22">
        <f>C48/K2</f>
        <v>8510.8932445267001</v>
      </c>
      <c r="E48" s="3"/>
      <c r="F48" s="3"/>
      <c r="G48" s="22"/>
      <c r="H48" s="3"/>
      <c r="I48" s="41"/>
    </row>
    <row r="49" spans="1:9">
      <c r="A49" s="3"/>
      <c r="B49" s="3" t="s">
        <v>59</v>
      </c>
      <c r="C49" s="25">
        <f>C47+C48</f>
        <v>79415</v>
      </c>
      <c r="D49" s="22">
        <f>SUM(D47:D48)</f>
        <v>12106.738703908946</v>
      </c>
      <c r="E49" s="3">
        <v>24577.83</v>
      </c>
      <c r="F49" s="3" t="s">
        <v>9</v>
      </c>
      <c r="G49" s="22">
        <v>12106.74</v>
      </c>
      <c r="H49" s="3">
        <v>1.5249999999999999</v>
      </c>
      <c r="I49" s="41">
        <f>G49*H49</f>
        <v>18462.7785</v>
      </c>
    </row>
    <row r="50" spans="1:9">
      <c r="A50" s="3"/>
      <c r="B50" s="3" t="s">
        <v>26</v>
      </c>
      <c r="C50" s="25">
        <v>50352</v>
      </c>
      <c r="D50" s="22">
        <f>C50/K2</f>
        <v>7676.1129159380871</v>
      </c>
      <c r="E50" s="3">
        <v>24577.83</v>
      </c>
      <c r="F50" s="3" t="s">
        <v>9</v>
      </c>
      <c r="G50" s="4">
        <f>D50</f>
        <v>7676.1129159380871</v>
      </c>
      <c r="H50" s="3">
        <v>1.5249999999999999</v>
      </c>
      <c r="I50" s="4">
        <f>G50*H50</f>
        <v>11706.072196805582</v>
      </c>
    </row>
    <row r="51" spans="1:9">
      <c r="A51" s="5" t="s">
        <v>28</v>
      </c>
      <c r="B51" s="3"/>
      <c r="C51" s="25">
        <f>C49+C50</f>
        <v>129767</v>
      </c>
      <c r="D51" s="22">
        <f>D49+D50</f>
        <v>19782.851619847032</v>
      </c>
      <c r="E51" s="3"/>
      <c r="F51" s="3"/>
      <c r="G51" s="22">
        <f>SUM(G47:G50)</f>
        <v>19782.852915938085</v>
      </c>
      <c r="H51" s="3">
        <v>1.5249999999999999</v>
      </c>
      <c r="I51" s="6">
        <f>SUM(I49:I50)</f>
        <v>30168.850696805581</v>
      </c>
    </row>
    <row r="52" spans="1:9">
      <c r="H52" s="41"/>
    </row>
    <row r="53" spans="1:9">
      <c r="C53" s="34"/>
      <c r="G53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selection activeCell="L19" sqref="L19"/>
    </sheetView>
  </sheetViews>
  <sheetFormatPr baseColWidth="10" defaultColWidth="8.7265625" defaultRowHeight="14.5"/>
  <cols>
    <col min="1" max="1" width="17.81640625" bestFit="1" customWidth="1"/>
    <col min="2" max="2" width="18.26953125" bestFit="1" customWidth="1"/>
    <col min="3" max="3" width="2" customWidth="1"/>
    <col min="4" max="4" width="7.81640625" bestFit="1" customWidth="1"/>
    <col min="5" max="5" width="25.54296875" bestFit="1" customWidth="1"/>
    <col min="6" max="6" width="2.26953125" customWidth="1"/>
    <col min="7" max="7" width="24.08984375" bestFit="1" customWidth="1"/>
    <col min="8" max="8" width="4.453125" customWidth="1"/>
    <col min="9" max="9" width="10.1796875" bestFit="1" customWidth="1"/>
    <col min="10" max="10" width="15.54296875" customWidth="1"/>
    <col min="11" max="11" width="12.08984375" bestFit="1" customWidth="1"/>
  </cols>
  <sheetData>
    <row r="1" spans="1:11">
      <c r="A1" s="7" t="s">
        <v>29</v>
      </c>
      <c r="B1" s="7" t="s">
        <v>52</v>
      </c>
      <c r="D1">
        <v>6.5595699999999999</v>
      </c>
      <c r="E1" s="7" t="s">
        <v>61</v>
      </c>
      <c r="G1" s="7" t="s">
        <v>60</v>
      </c>
      <c r="I1" s="59" t="s">
        <v>62</v>
      </c>
      <c r="J1" s="59"/>
    </row>
    <row r="2" spans="1:11">
      <c r="A2" s="55">
        <v>1991</v>
      </c>
      <c r="B2" s="58">
        <f>'CNAV CORRIGE'!I10</f>
        <v>34925.29494</v>
      </c>
      <c r="C2" s="56"/>
      <c r="D2" s="57">
        <v>1.677</v>
      </c>
      <c r="E2" s="58">
        <f t="shared" ref="E2:E26" si="0">B2*D2</f>
        <v>58569.719614380003</v>
      </c>
      <c r="G2" s="41">
        <v>28639.72</v>
      </c>
      <c r="I2" s="41">
        <f>G2/D2</f>
        <v>17077.948717948719</v>
      </c>
      <c r="J2" s="25">
        <f>I2*$D$1</f>
        <v>112024.00007179487</v>
      </c>
    </row>
    <row r="3" spans="1:11">
      <c r="A3" s="55">
        <v>1992</v>
      </c>
      <c r="B3" s="58">
        <f>'CNAV CORRIGE'!I18</f>
        <v>40718.914730000004</v>
      </c>
      <c r="C3" s="56"/>
      <c r="D3" s="57">
        <v>1.623</v>
      </c>
      <c r="E3" s="58">
        <f t="shared" si="0"/>
        <v>66086.798606790006</v>
      </c>
      <c r="G3" s="41">
        <v>36002.04</v>
      </c>
      <c r="I3" s="41">
        <f t="shared" ref="I3:I26" si="1">G3/D3</f>
        <v>22182.402957486138</v>
      </c>
      <c r="J3" s="25">
        <f>I3*$D$1</f>
        <v>145507.02496783735</v>
      </c>
    </row>
    <row r="4" spans="1:11" ht="15.5">
      <c r="A4" s="55">
        <v>1993</v>
      </c>
      <c r="B4" s="58">
        <f>'CNAV CORRIGE'!I26</f>
        <v>56187.456526289607</v>
      </c>
      <c r="C4" s="56"/>
      <c r="D4" s="57">
        <v>1.623</v>
      </c>
      <c r="E4" s="58">
        <f t="shared" si="0"/>
        <v>91192.241942168039</v>
      </c>
      <c r="G4" s="41">
        <v>44216.54</v>
      </c>
      <c r="I4" s="41">
        <f t="shared" si="1"/>
        <v>27243.709180529884</v>
      </c>
      <c r="J4" s="25">
        <f t="shared" ref="J4:J9" si="2">I4*$D$1</f>
        <v>178707.01742932841</v>
      </c>
      <c r="K4" s="38"/>
    </row>
    <row r="5" spans="1:11">
      <c r="A5" s="55">
        <v>1994</v>
      </c>
      <c r="B5" s="58">
        <f>'CNAV CORRIGE'!I34</f>
        <v>48259.808722448011</v>
      </c>
      <c r="C5" s="56"/>
      <c r="D5" s="57">
        <v>1.595</v>
      </c>
      <c r="E5" s="58">
        <f t="shared" si="0"/>
        <v>76974.394912304575</v>
      </c>
      <c r="G5" s="41">
        <v>47704.38</v>
      </c>
      <c r="I5" s="41">
        <f t="shared" si="1"/>
        <v>29908.702194357367</v>
      </c>
      <c r="J5" s="25">
        <f t="shared" si="2"/>
        <v>196188.22565304075</v>
      </c>
    </row>
    <row r="6" spans="1:11">
      <c r="A6" s="55">
        <v>1995</v>
      </c>
      <c r="B6" s="58">
        <f>'CNAV CORRIGE'!I44</f>
        <v>76643.924459999995</v>
      </c>
      <c r="C6" s="56"/>
      <c r="D6" s="57">
        <v>1.577</v>
      </c>
      <c r="E6" s="58">
        <f t="shared" si="0"/>
        <v>120867.46887341999</v>
      </c>
      <c r="G6" s="41">
        <v>140146.81</v>
      </c>
      <c r="I6" s="41">
        <f t="shared" si="1"/>
        <v>88869.251743817382</v>
      </c>
      <c r="J6" s="25">
        <f t="shared" si="2"/>
        <v>582944.07766119216</v>
      </c>
      <c r="K6">
        <v>448344.41</v>
      </c>
    </row>
    <row r="7" spans="1:11">
      <c r="A7" s="55">
        <v>1996</v>
      </c>
      <c r="B7" s="58">
        <f>'CORRIGE+BULLEIN2 DE 1996'!I51</f>
        <v>30168.850696805581</v>
      </c>
      <c r="C7" s="56"/>
      <c r="D7" s="57">
        <v>1.538</v>
      </c>
      <c r="E7" s="58">
        <f t="shared" si="0"/>
        <v>46399.692371686986</v>
      </c>
      <c r="G7" s="41">
        <v>27014.51</v>
      </c>
      <c r="I7" s="41">
        <f t="shared" si="1"/>
        <v>17564.700910273081</v>
      </c>
      <c r="J7" s="25">
        <f t="shared" si="2"/>
        <v>115216.88514999999</v>
      </c>
      <c r="K7">
        <f>'CORRIGE+BULLEIN2 DE 1996'!C37</f>
        <v>70313</v>
      </c>
    </row>
    <row r="8" spans="1:11">
      <c r="A8" s="3">
        <v>1997</v>
      </c>
      <c r="B8" s="41">
        <f>45288/D1</f>
        <v>6904.1110926478414</v>
      </c>
      <c r="D8" s="35">
        <v>1.522</v>
      </c>
      <c r="E8" s="42">
        <f t="shared" si="0"/>
        <v>10508.057083010015</v>
      </c>
      <c r="F8" s="39"/>
      <c r="G8" s="42">
        <f>E8</f>
        <v>10508.057083010015</v>
      </c>
      <c r="I8" s="41">
        <f t="shared" si="1"/>
        <v>6904.1110926478414</v>
      </c>
      <c r="J8" s="25">
        <f t="shared" si="2"/>
        <v>45288</v>
      </c>
      <c r="K8">
        <f>'CORRIGE+BULLEIN2 DE 1996'!C42</f>
        <v>34700</v>
      </c>
    </row>
    <row r="9" spans="1:11">
      <c r="A9" s="3">
        <v>1999</v>
      </c>
      <c r="B9" s="41">
        <f>51987/D1</f>
        <v>7925.3670591212531</v>
      </c>
      <c r="D9" s="35">
        <v>1.4870000000000001</v>
      </c>
      <c r="E9" s="42">
        <f t="shared" si="0"/>
        <v>11785.020816913304</v>
      </c>
      <c r="F9" s="39"/>
      <c r="G9" s="42">
        <f t="shared" ref="G9:G26" si="3">E9</f>
        <v>11785.020816913304</v>
      </c>
      <c r="I9" s="41">
        <f t="shared" si="1"/>
        <v>7925.3670591212531</v>
      </c>
      <c r="J9" s="25">
        <f t="shared" si="2"/>
        <v>51987</v>
      </c>
      <c r="K9">
        <v>19356</v>
      </c>
    </row>
    <row r="10" spans="1:11">
      <c r="A10" s="3">
        <v>2002</v>
      </c>
      <c r="B10" s="41">
        <v>9208</v>
      </c>
      <c r="D10" s="35">
        <v>1.4179999999999999</v>
      </c>
      <c r="E10" s="42">
        <f t="shared" si="0"/>
        <v>13056.944</v>
      </c>
      <c r="F10" s="39"/>
      <c r="G10" s="42">
        <f t="shared" si="3"/>
        <v>13056.944</v>
      </c>
      <c r="I10" s="41">
        <f t="shared" si="1"/>
        <v>9208</v>
      </c>
      <c r="J10" s="25"/>
      <c r="K10">
        <f>SUM(K6:K9)</f>
        <v>572713.40999999992</v>
      </c>
    </row>
    <row r="11" spans="1:11">
      <c r="A11" s="3">
        <v>2003</v>
      </c>
      <c r="B11" s="41">
        <v>9031</v>
      </c>
      <c r="D11" s="35">
        <v>1.395</v>
      </c>
      <c r="E11" s="42">
        <f t="shared" si="0"/>
        <v>12598.245000000001</v>
      </c>
      <c r="F11" s="39"/>
      <c r="G11" s="42">
        <f t="shared" si="3"/>
        <v>12598.245000000001</v>
      </c>
      <c r="I11" s="41">
        <f t="shared" si="1"/>
        <v>9031</v>
      </c>
      <c r="J11" s="25"/>
      <c r="K11" s="34">
        <f>J6-K10</f>
        <v>10230.667661192245</v>
      </c>
    </row>
    <row r="12" spans="1:11">
      <c r="A12" s="3">
        <v>2004</v>
      </c>
      <c r="B12" s="41">
        <v>18000</v>
      </c>
      <c r="D12" s="35">
        <v>1.3740000000000001</v>
      </c>
      <c r="E12" s="42">
        <f t="shared" si="0"/>
        <v>24732.000000000004</v>
      </c>
      <c r="F12" s="39"/>
      <c r="G12" s="42">
        <f t="shared" si="3"/>
        <v>24732.000000000004</v>
      </c>
      <c r="I12" s="41">
        <f t="shared" si="1"/>
        <v>18000</v>
      </c>
      <c r="J12" s="25"/>
      <c r="K12" s="34"/>
    </row>
    <row r="13" spans="1:11">
      <c r="A13" s="3">
        <v>2005</v>
      </c>
      <c r="B13" s="41">
        <v>18000</v>
      </c>
      <c r="D13" s="35">
        <v>1.3480000000000001</v>
      </c>
      <c r="E13" s="42">
        <f t="shared" si="0"/>
        <v>24264</v>
      </c>
      <c r="F13" s="39"/>
      <c r="G13" s="42">
        <f t="shared" si="3"/>
        <v>24264</v>
      </c>
      <c r="I13" s="41">
        <f t="shared" si="1"/>
        <v>18000</v>
      </c>
      <c r="J13" s="25"/>
    </row>
    <row r="14" spans="1:11">
      <c r="A14" s="3">
        <v>2006</v>
      </c>
      <c r="B14" s="41">
        <v>22000</v>
      </c>
      <c r="D14" s="35">
        <v>1.3240000000000001</v>
      </c>
      <c r="E14" s="42">
        <f t="shared" si="0"/>
        <v>29128</v>
      </c>
      <c r="F14" s="39"/>
      <c r="G14" s="42">
        <f t="shared" si="3"/>
        <v>29128</v>
      </c>
      <c r="I14" s="41">
        <f t="shared" si="1"/>
        <v>22000</v>
      </c>
      <c r="J14" s="25"/>
    </row>
    <row r="15" spans="1:11">
      <c r="A15" s="3">
        <v>2007</v>
      </c>
      <c r="B15" s="41">
        <v>17288.52</v>
      </c>
      <c r="D15" s="35">
        <v>1.302</v>
      </c>
      <c r="E15" s="42">
        <f t="shared" si="0"/>
        <v>22509.653040000001</v>
      </c>
      <c r="F15" s="39"/>
      <c r="G15" s="42">
        <f t="shared" si="3"/>
        <v>22509.653040000001</v>
      </c>
      <c r="I15" s="41">
        <f t="shared" si="1"/>
        <v>17288.52</v>
      </c>
      <c r="J15" s="25"/>
    </row>
    <row r="16" spans="1:11">
      <c r="A16" s="3">
        <v>2008</v>
      </c>
      <c r="B16" s="41">
        <v>15057.53</v>
      </c>
      <c r="D16" s="35">
        <v>1.29</v>
      </c>
      <c r="E16" s="42">
        <f t="shared" si="0"/>
        <v>19424.2137</v>
      </c>
      <c r="F16" s="39"/>
      <c r="G16" s="42">
        <f t="shared" si="3"/>
        <v>19424.2137</v>
      </c>
      <c r="I16" s="41">
        <f t="shared" si="1"/>
        <v>15057.53</v>
      </c>
      <c r="J16" s="25"/>
    </row>
    <row r="17" spans="1:10">
      <c r="A17" s="3">
        <v>2010</v>
      </c>
      <c r="B17" s="41">
        <v>18000</v>
      </c>
      <c r="D17" s="35">
        <v>1.2669999999999999</v>
      </c>
      <c r="E17" s="42">
        <f t="shared" si="0"/>
        <v>22806</v>
      </c>
      <c r="F17" s="39"/>
      <c r="G17" s="42">
        <f t="shared" si="3"/>
        <v>22806</v>
      </c>
      <c r="I17" s="41">
        <f t="shared" si="1"/>
        <v>18000</v>
      </c>
      <c r="J17" s="25"/>
    </row>
    <row r="18" spans="1:10">
      <c r="A18" s="3">
        <v>2011</v>
      </c>
      <c r="B18" s="41">
        <v>10500</v>
      </c>
      <c r="D18" s="35">
        <v>1.256</v>
      </c>
      <c r="E18" s="42">
        <f t="shared" si="0"/>
        <v>13188</v>
      </c>
      <c r="F18" s="39"/>
      <c r="G18" s="42">
        <f t="shared" si="3"/>
        <v>13188</v>
      </c>
      <c r="I18" s="41">
        <f t="shared" si="1"/>
        <v>10500</v>
      </c>
      <c r="J18" s="25"/>
    </row>
    <row r="19" spans="1:10">
      <c r="A19" s="3">
        <v>2012</v>
      </c>
      <c r="B19" s="41">
        <v>27117.040000000001</v>
      </c>
      <c r="D19" s="35">
        <v>1.2310000000000001</v>
      </c>
      <c r="E19" s="42">
        <f t="shared" si="0"/>
        <v>33381.076240000002</v>
      </c>
      <c r="F19" s="39"/>
      <c r="G19" s="42">
        <f t="shared" si="3"/>
        <v>33381.076240000002</v>
      </c>
      <c r="I19" s="41">
        <f t="shared" si="1"/>
        <v>27117.040000000001</v>
      </c>
      <c r="J19" s="25"/>
    </row>
    <row r="20" spans="1:10">
      <c r="A20" s="20">
        <v>2013</v>
      </c>
      <c r="B20" s="48">
        <v>33600</v>
      </c>
      <c r="C20" s="36"/>
      <c r="D20" s="37">
        <v>1.2050000000000001</v>
      </c>
      <c r="E20" s="48">
        <f t="shared" si="0"/>
        <v>40488</v>
      </c>
      <c r="F20" s="36"/>
      <c r="G20" s="48">
        <v>39988.17</v>
      </c>
      <c r="H20" s="36"/>
      <c r="I20" s="48">
        <f t="shared" si="1"/>
        <v>33185.20331950207</v>
      </c>
      <c r="J20" s="25"/>
    </row>
    <row r="21" spans="1:10">
      <c r="A21" s="3">
        <v>2014</v>
      </c>
      <c r="B21" s="41">
        <v>36000</v>
      </c>
      <c r="D21" s="35">
        <v>1.1910000000000001</v>
      </c>
      <c r="E21" s="42">
        <f t="shared" si="0"/>
        <v>42876</v>
      </c>
      <c r="F21" s="39"/>
      <c r="G21" s="42">
        <f t="shared" si="3"/>
        <v>42876</v>
      </c>
      <c r="I21" s="41">
        <f t="shared" si="1"/>
        <v>36000</v>
      </c>
      <c r="J21" s="25"/>
    </row>
    <row r="22" spans="1:10">
      <c r="A22" s="3">
        <v>2015</v>
      </c>
      <c r="B22" s="41">
        <v>36000</v>
      </c>
      <c r="D22" s="35">
        <v>1.1910000000000001</v>
      </c>
      <c r="E22" s="42">
        <f t="shared" si="0"/>
        <v>42876</v>
      </c>
      <c r="F22" s="39"/>
      <c r="G22" s="42">
        <f t="shared" si="3"/>
        <v>42876</v>
      </c>
      <c r="I22" s="41">
        <f t="shared" si="1"/>
        <v>36000</v>
      </c>
      <c r="J22" s="25"/>
    </row>
    <row r="23" spans="1:10">
      <c r="A23" s="3">
        <v>2016</v>
      </c>
      <c r="B23" s="41">
        <v>36000</v>
      </c>
      <c r="D23" s="35">
        <v>1.19</v>
      </c>
      <c r="E23" s="42">
        <f t="shared" si="0"/>
        <v>42840</v>
      </c>
      <c r="F23" s="39"/>
      <c r="G23" s="42">
        <f t="shared" si="3"/>
        <v>42840</v>
      </c>
      <c r="I23" s="41">
        <f t="shared" si="1"/>
        <v>36000</v>
      </c>
      <c r="J23" s="25"/>
    </row>
    <row r="24" spans="1:10">
      <c r="A24" s="3">
        <v>2017</v>
      </c>
      <c r="B24" s="41">
        <v>36000</v>
      </c>
      <c r="D24" s="35">
        <v>1.19</v>
      </c>
      <c r="E24" s="42">
        <f t="shared" si="0"/>
        <v>42840</v>
      </c>
      <c r="F24" s="39"/>
      <c r="G24" s="42">
        <f t="shared" si="3"/>
        <v>42840</v>
      </c>
      <c r="I24" s="41">
        <f t="shared" si="1"/>
        <v>36000</v>
      </c>
      <c r="J24" s="25"/>
    </row>
    <row r="25" spans="1:10">
      <c r="A25" s="3">
        <v>2018</v>
      </c>
      <c r="B25" s="41">
        <v>36000</v>
      </c>
      <c r="D25" s="35">
        <v>1.181</v>
      </c>
      <c r="E25" s="42">
        <f t="shared" si="0"/>
        <v>42516</v>
      </c>
      <c r="F25" s="39"/>
      <c r="G25" s="42">
        <f t="shared" si="3"/>
        <v>42516</v>
      </c>
      <c r="I25" s="41">
        <f t="shared" si="1"/>
        <v>36000</v>
      </c>
      <c r="J25" s="25"/>
    </row>
    <row r="26" spans="1:10">
      <c r="A26" s="3">
        <v>2025</v>
      </c>
      <c r="B26" s="41">
        <v>22031</v>
      </c>
      <c r="D26" s="35">
        <v>1.0089999999999999</v>
      </c>
      <c r="E26" s="42">
        <f t="shared" si="0"/>
        <v>22229.278999999999</v>
      </c>
      <c r="F26" s="40"/>
      <c r="G26" s="42">
        <f t="shared" si="3"/>
        <v>22229.278999999999</v>
      </c>
      <c r="I26" s="41">
        <f t="shared" si="1"/>
        <v>22031</v>
      </c>
      <c r="J26" s="25"/>
    </row>
    <row r="27" spans="1:10">
      <c r="E27" s="41"/>
      <c r="G27" s="41"/>
    </row>
    <row r="28" spans="1:10">
      <c r="A28" s="8" t="s">
        <v>30</v>
      </c>
      <c r="B28" s="9"/>
      <c r="D28" s="11"/>
      <c r="E28" s="41">
        <f>SUM(E2:E26)</f>
        <v>974136.80520067282</v>
      </c>
      <c r="G28" s="41">
        <f>SUM(G2:G27)</f>
        <v>837270.65887992328</v>
      </c>
    </row>
    <row r="29" spans="1:10">
      <c r="A29" s="8" t="s">
        <v>31</v>
      </c>
      <c r="B29" s="9"/>
      <c r="E29" s="41">
        <f>E28/25</f>
        <v>38965.472208026913</v>
      </c>
      <c r="G29" s="41">
        <f>G28/25</f>
        <v>33490.826355196928</v>
      </c>
    </row>
    <row r="30" spans="1:10">
      <c r="E30" s="41"/>
      <c r="G30" s="41"/>
    </row>
    <row r="31" spans="1:10" ht="15.5">
      <c r="A31" s="10" t="s">
        <v>32</v>
      </c>
      <c r="E31" s="41"/>
      <c r="G31" s="41"/>
    </row>
    <row r="32" spans="1:10">
      <c r="A32" t="s">
        <v>33</v>
      </c>
      <c r="B32" s="12"/>
      <c r="D32" s="12">
        <v>0.5</v>
      </c>
      <c r="E32" s="41">
        <f>E29*D32</f>
        <v>19482.736104013456</v>
      </c>
      <c r="G32" s="41">
        <f>G29*D32</f>
        <v>16745.413177598464</v>
      </c>
    </row>
    <row r="33" spans="1:7">
      <c r="A33" s="13" t="s">
        <v>34</v>
      </c>
      <c r="B33" s="14"/>
      <c r="D33" s="14"/>
      <c r="E33" s="41">
        <f>(E32/167)*121</f>
        <v>14116.233943626516</v>
      </c>
      <c r="G33" s="41">
        <f>(G32/167)*121</f>
        <v>12132.904158619247</v>
      </c>
    </row>
    <row r="34" spans="1:7" ht="15.5">
      <c r="A34" s="15" t="s">
        <v>35</v>
      </c>
      <c r="E34" s="43">
        <f>E33/12</f>
        <v>1176.3528286355429</v>
      </c>
      <c r="G34" s="41">
        <f>G33/12</f>
        <v>1011.075346551604</v>
      </c>
    </row>
  </sheetData>
  <mergeCells count="1"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1"/>
  <sheetViews>
    <sheetView topLeftCell="A29" workbookViewId="0">
      <selection activeCell="B38" sqref="B38"/>
    </sheetView>
  </sheetViews>
  <sheetFormatPr baseColWidth="10" defaultColWidth="8.7265625" defaultRowHeight="14.5"/>
  <cols>
    <col min="1" max="1" width="20" customWidth="1"/>
    <col min="2" max="2" width="30.54296875" bestFit="1" customWidth="1"/>
    <col min="3" max="5" width="15" customWidth="1"/>
    <col min="6" max="6" width="11.1796875" bestFit="1" customWidth="1"/>
    <col min="7" max="7" width="3.26953125" customWidth="1"/>
    <col min="8" max="8" width="10.54296875" customWidth="1"/>
    <col min="9" max="9" width="10.1796875" bestFit="1" customWidth="1"/>
  </cols>
  <sheetData>
    <row r="1" spans="1:9" ht="29">
      <c r="A1" s="1" t="s">
        <v>54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H1" s="16" t="s">
        <v>38</v>
      </c>
    </row>
    <row r="2" spans="1:9">
      <c r="A2" s="2">
        <v>1990</v>
      </c>
      <c r="B2" s="3"/>
      <c r="C2" s="3"/>
      <c r="D2" s="3"/>
      <c r="E2" s="3"/>
      <c r="H2">
        <v>6.5595699999999999</v>
      </c>
    </row>
    <row r="3" spans="1:9">
      <c r="A3" s="3"/>
      <c r="B3" s="3" t="s">
        <v>36</v>
      </c>
      <c r="C3" s="25">
        <v>33120</v>
      </c>
      <c r="D3" s="22">
        <v>5049.1099999999997</v>
      </c>
      <c r="E3" s="3">
        <v>1.6890000000000001</v>
      </c>
      <c r="F3" s="4">
        <f>D3*E3</f>
        <v>8527.94679</v>
      </c>
    </row>
    <row r="4" spans="1:9">
      <c r="A4" s="3"/>
      <c r="B4" s="3" t="s">
        <v>43</v>
      </c>
      <c r="C4" s="25">
        <v>19791.71</v>
      </c>
      <c r="D4" s="22">
        <v>3017.23</v>
      </c>
      <c r="E4" s="3">
        <v>1.6890000000000001</v>
      </c>
      <c r="F4" s="4">
        <f>D4*E4</f>
        <v>5096.1014700000005</v>
      </c>
    </row>
    <row r="5" spans="1:9">
      <c r="A5" s="5" t="s">
        <v>11</v>
      </c>
      <c r="B5" s="44" t="s">
        <v>40</v>
      </c>
      <c r="C5" s="25">
        <f>SUM(C3:C4)</f>
        <v>52911.71</v>
      </c>
      <c r="D5" s="22">
        <f>SUM(D3:D4)</f>
        <v>8066.34</v>
      </c>
      <c r="E5" s="3">
        <v>1.6890000000000001</v>
      </c>
      <c r="F5" s="28">
        <f>D5*E5</f>
        <v>13624.048260000001</v>
      </c>
      <c r="I5" s="18"/>
    </row>
    <row r="6" spans="1:9">
      <c r="A6" s="3"/>
      <c r="B6" s="3"/>
      <c r="C6" s="25"/>
      <c r="D6" s="22"/>
      <c r="F6" s="11"/>
      <c r="I6" s="18"/>
    </row>
    <row r="7" spans="1:9">
      <c r="A7" s="2">
        <v>1991</v>
      </c>
      <c r="B7" s="3"/>
      <c r="C7" s="25"/>
      <c r="D7" s="22"/>
      <c r="E7" s="3"/>
      <c r="F7" s="3"/>
      <c r="I7" s="18"/>
    </row>
    <row r="8" spans="1:9">
      <c r="A8" s="3"/>
      <c r="B8" s="3" t="s">
        <v>12</v>
      </c>
      <c r="C8" s="25">
        <v>112024</v>
      </c>
      <c r="D8" s="22">
        <f>C8/H2</f>
        <v>17077.948707003659</v>
      </c>
      <c r="E8" s="3"/>
      <c r="F8" s="4"/>
      <c r="I8" s="18"/>
    </row>
    <row r="9" spans="1:9">
      <c r="A9" s="3"/>
      <c r="B9" s="3" t="s">
        <v>13</v>
      </c>
      <c r="C9" s="25">
        <v>68913</v>
      </c>
      <c r="D9" s="22">
        <f>C9/H2</f>
        <v>10505.719124881662</v>
      </c>
      <c r="E9" s="3"/>
      <c r="F9" s="4"/>
      <c r="I9" s="18"/>
    </row>
    <row r="10" spans="1:9">
      <c r="A10" s="5" t="s">
        <v>14</v>
      </c>
      <c r="B10" s="44" t="s">
        <v>40</v>
      </c>
      <c r="C10" s="25">
        <f>SUM(C8:C9)</f>
        <v>180937</v>
      </c>
      <c r="D10" s="22">
        <f>SUM(D8:D9)</f>
        <v>27583.667831885323</v>
      </c>
      <c r="E10" s="3">
        <v>1.663</v>
      </c>
      <c r="F10" s="28">
        <f>D10*E10</f>
        <v>45871.639604425291</v>
      </c>
      <c r="I10" s="18"/>
    </row>
    <row r="11" spans="1:9">
      <c r="A11" s="3"/>
      <c r="B11" s="3"/>
      <c r="C11" s="25"/>
      <c r="D11" s="23"/>
      <c r="E11" s="3"/>
      <c r="F11" s="3"/>
      <c r="I11" s="18"/>
    </row>
    <row r="12" spans="1:9">
      <c r="A12" s="2">
        <v>1992</v>
      </c>
      <c r="B12" s="3"/>
      <c r="C12" s="25"/>
      <c r="D12" s="22"/>
      <c r="E12" s="3"/>
      <c r="F12" s="3"/>
    </row>
    <row r="13" spans="1:9">
      <c r="A13" s="3"/>
      <c r="B13" s="3" t="s">
        <v>12</v>
      </c>
      <c r="C13" s="25">
        <v>103829</v>
      </c>
      <c r="D13" s="22">
        <f>C13/H2</f>
        <v>15828.629010743083</v>
      </c>
      <c r="E13" s="3"/>
      <c r="F13" s="4"/>
    </row>
    <row r="14" spans="1:9">
      <c r="A14" s="3"/>
      <c r="B14" s="3" t="s">
        <v>42</v>
      </c>
      <c r="C14" s="25">
        <v>63512.61</v>
      </c>
      <c r="D14" s="22">
        <f>C14/H2</f>
        <v>9682.4349766829237</v>
      </c>
      <c r="E14" s="3"/>
      <c r="F14" s="4"/>
    </row>
    <row r="15" spans="1:9">
      <c r="A15" s="3"/>
      <c r="B15" s="44" t="s">
        <v>44</v>
      </c>
      <c r="C15" s="25">
        <f>C13+C14</f>
        <v>167341.60999999999</v>
      </c>
      <c r="D15" s="22">
        <f>SUM(D13:D14)</f>
        <v>25511.063987426009</v>
      </c>
      <c r="E15" s="3">
        <v>1.609</v>
      </c>
      <c r="F15" s="4">
        <f>D15*E15</f>
        <v>41047.301955768446</v>
      </c>
    </row>
    <row r="16" spans="1:9">
      <c r="A16" s="3"/>
      <c r="B16" s="3" t="s">
        <v>16</v>
      </c>
      <c r="C16" s="25">
        <v>16485</v>
      </c>
      <c r="D16" s="22">
        <f>C16/H2</f>
        <v>2513.1220491587101</v>
      </c>
      <c r="E16" s="3">
        <v>1.609</v>
      </c>
      <c r="F16" s="4">
        <f t="shared" ref="F16:F17" si="0">D16*E16</f>
        <v>4043.6133770963643</v>
      </c>
    </row>
    <row r="17" spans="1:8">
      <c r="A17" s="3"/>
      <c r="B17" s="3" t="s">
        <v>17</v>
      </c>
      <c r="C17" s="25">
        <v>5400</v>
      </c>
      <c r="D17" s="22">
        <f>C17/H2</f>
        <v>823.22469308201607</v>
      </c>
      <c r="E17" s="3">
        <v>1.609</v>
      </c>
      <c r="F17" s="4">
        <f t="shared" si="0"/>
        <v>1324.5685311689638</v>
      </c>
    </row>
    <row r="18" spans="1:8" ht="15.5">
      <c r="A18" s="5" t="s">
        <v>19</v>
      </c>
      <c r="B18" s="45" t="s">
        <v>46</v>
      </c>
      <c r="C18" s="25">
        <f>C15+C16+C17</f>
        <v>189226.61</v>
      </c>
      <c r="D18" s="22">
        <f>SUM(D15:D17)</f>
        <v>28847.410729666732</v>
      </c>
      <c r="E18" s="3">
        <v>1.609</v>
      </c>
      <c r="F18" s="28">
        <f>D18*E18</f>
        <v>46415.483864033769</v>
      </c>
      <c r="H18" s="11"/>
    </row>
    <row r="19" spans="1:8">
      <c r="A19" s="3"/>
      <c r="B19" s="3"/>
      <c r="C19" s="25"/>
      <c r="D19" s="22"/>
      <c r="E19" s="3"/>
      <c r="F19" s="11"/>
    </row>
    <row r="20" spans="1:8">
      <c r="A20" s="2">
        <v>1993</v>
      </c>
      <c r="B20" s="3"/>
      <c r="C20" s="25"/>
      <c r="D20" s="22"/>
      <c r="E20" s="3"/>
    </row>
    <row r="21" spans="1:8">
      <c r="A21" s="3"/>
      <c r="B21" s="3" t="s">
        <v>12</v>
      </c>
      <c r="C21" s="25">
        <v>99462</v>
      </c>
      <c r="D21" s="22">
        <f>C21/H2</f>
        <v>15162.884152467312</v>
      </c>
      <c r="E21" s="22"/>
      <c r="F21" s="22"/>
    </row>
    <row r="22" spans="1:8">
      <c r="A22" s="3"/>
      <c r="B22" s="3" t="s">
        <v>37</v>
      </c>
      <c r="C22" s="25">
        <v>72191.009999999995</v>
      </c>
      <c r="D22" s="22">
        <f>C22/H2</f>
        <v>11005.448527876064</v>
      </c>
      <c r="E22" s="22"/>
      <c r="F22" s="22"/>
    </row>
    <row r="23" spans="1:8">
      <c r="A23" s="3"/>
      <c r="B23" s="44" t="s">
        <v>44</v>
      </c>
      <c r="C23" s="25">
        <f>SUM(C21:C22)</f>
        <v>171653.01</v>
      </c>
      <c r="D23" s="22">
        <f>SUM(D21:D22)</f>
        <v>26168.332680343374</v>
      </c>
      <c r="E23" s="3">
        <v>1.609</v>
      </c>
      <c r="F23" s="22">
        <f>D23*E23</f>
        <v>42104.84728267249</v>
      </c>
    </row>
    <row r="24" spans="1:8">
      <c r="A24" s="3"/>
      <c r="B24" s="3" t="s">
        <v>16</v>
      </c>
      <c r="C24" s="25">
        <v>70245</v>
      </c>
      <c r="D24" s="22">
        <f>C24/H2</f>
        <v>10708.781215841893</v>
      </c>
      <c r="E24" s="3">
        <v>1.609</v>
      </c>
      <c r="F24" s="22">
        <f t="shared" ref="F24:F25" si="1">D24*E24</f>
        <v>17230.428976289604</v>
      </c>
    </row>
    <row r="25" spans="1:8">
      <c r="A25" s="3"/>
      <c r="B25" s="3" t="s">
        <v>17</v>
      </c>
      <c r="C25" s="25">
        <v>9000</v>
      </c>
      <c r="D25" s="22">
        <f>C25/H2</f>
        <v>1372.0411551366935</v>
      </c>
      <c r="E25" s="3">
        <v>1.609</v>
      </c>
      <c r="F25" s="22">
        <f t="shared" si="1"/>
        <v>2207.61421861494</v>
      </c>
      <c r="H25" s="41"/>
    </row>
    <row r="26" spans="1:8">
      <c r="A26" s="5" t="s">
        <v>20</v>
      </c>
      <c r="B26" s="3" t="s">
        <v>46</v>
      </c>
      <c r="C26" s="25">
        <f>C23+C24+C25</f>
        <v>250898.01</v>
      </c>
      <c r="D26" s="25">
        <f>D23+D24+D25</f>
        <v>38249.155051321963</v>
      </c>
      <c r="E26" s="3">
        <v>1.609</v>
      </c>
      <c r="F26" s="28">
        <f>D26*E26</f>
        <v>61542.890477577035</v>
      </c>
    </row>
    <row r="27" spans="1:8">
      <c r="A27" s="3"/>
      <c r="B27" s="3"/>
      <c r="C27" s="25"/>
      <c r="D27" s="22"/>
    </row>
    <row r="28" spans="1:8">
      <c r="A28" s="2">
        <v>1994</v>
      </c>
      <c r="B28" s="3"/>
      <c r="C28" s="25"/>
      <c r="D28" s="22"/>
      <c r="E28" s="3"/>
    </row>
    <row r="29" spans="1:8">
      <c r="A29" s="3"/>
      <c r="B29" s="3" t="s">
        <v>36</v>
      </c>
      <c r="C29" s="25">
        <v>139800</v>
      </c>
      <c r="D29" s="22">
        <f>C29/H2</f>
        <v>21312.372609789971</v>
      </c>
      <c r="E29" s="3"/>
      <c r="F29" s="22"/>
    </row>
    <row r="30" spans="1:8">
      <c r="A30" s="3"/>
      <c r="B30" s="3" t="s">
        <v>21</v>
      </c>
      <c r="C30" s="25">
        <v>84581.68</v>
      </c>
      <c r="D30" s="22">
        <f>C30/H2</f>
        <v>12894.393992289128</v>
      </c>
      <c r="E30" s="3"/>
      <c r="F30" s="22"/>
    </row>
    <row r="31" spans="1:8">
      <c r="A31" s="3"/>
      <c r="B31" s="44" t="s">
        <v>44</v>
      </c>
      <c r="C31" s="25">
        <f>SUM(C29:C30)</f>
        <v>224381.68</v>
      </c>
      <c r="D31" s="22">
        <f>SUM(D29:D30)</f>
        <v>34206.7666020791</v>
      </c>
      <c r="E31" s="3">
        <v>1.581</v>
      </c>
      <c r="F31" s="22">
        <f>D31*E31</f>
        <v>54080.897997887056</v>
      </c>
    </row>
    <row r="32" spans="1:8">
      <c r="A32" s="3"/>
      <c r="B32" s="3" t="s">
        <v>16</v>
      </c>
      <c r="C32" s="25">
        <v>30760</v>
      </c>
      <c r="D32" s="22">
        <f>C32/H2</f>
        <v>4689.3317702227432</v>
      </c>
      <c r="E32" s="3">
        <v>1.581</v>
      </c>
      <c r="F32" s="22">
        <f t="shared" ref="F32:F33" si="2">D32*E32</f>
        <v>7413.8335287221571</v>
      </c>
    </row>
    <row r="33" spans="1:8">
      <c r="A33" s="3"/>
      <c r="B33" s="3" t="s">
        <v>47</v>
      </c>
      <c r="C33" s="25">
        <v>16350</v>
      </c>
      <c r="D33" s="22">
        <f>C33/H2</f>
        <v>2492.5414318316598</v>
      </c>
      <c r="E33" s="3">
        <v>1.581</v>
      </c>
      <c r="F33" s="22">
        <f t="shared" si="2"/>
        <v>3940.7080037258538</v>
      </c>
    </row>
    <row r="34" spans="1:8" ht="15.5">
      <c r="A34" s="5" t="s">
        <v>23</v>
      </c>
      <c r="B34" s="45" t="s">
        <v>46</v>
      </c>
      <c r="C34" s="25">
        <f>C31+C32+C33</f>
        <v>271491.68</v>
      </c>
      <c r="D34" s="22">
        <f>D31+D32+D33</f>
        <v>41388.639804133505</v>
      </c>
      <c r="E34" s="3">
        <v>1.581</v>
      </c>
      <c r="F34" s="30">
        <f>D34*E34</f>
        <v>65435.439530335068</v>
      </c>
    </row>
    <row r="35" spans="1:8">
      <c r="A35" s="5"/>
      <c r="B35" s="3"/>
      <c r="C35" s="25"/>
      <c r="D35" s="22"/>
      <c r="E35" s="3"/>
    </row>
    <row r="36" spans="1:8">
      <c r="A36" s="2">
        <v>1995</v>
      </c>
      <c r="B36" s="3"/>
      <c r="C36" s="25"/>
      <c r="D36" s="22"/>
      <c r="E36" s="3"/>
      <c r="H36" s="11"/>
    </row>
    <row r="37" spans="1:8">
      <c r="A37" s="3"/>
      <c r="B37" s="3" t="s">
        <v>36</v>
      </c>
      <c r="C37" s="25">
        <v>70313</v>
      </c>
      <c r="D37" s="22">
        <f>C37/H2</f>
        <v>10719.147749014037</v>
      </c>
      <c r="E37" s="3"/>
      <c r="F37" s="4"/>
    </row>
    <row r="38" spans="1:8">
      <c r="A38" s="3"/>
      <c r="B38" s="3" t="s">
        <v>55</v>
      </c>
      <c r="C38" s="25">
        <v>448344.41</v>
      </c>
      <c r="D38" s="22">
        <f>C38/H2</f>
        <v>68349.664688386591</v>
      </c>
      <c r="E38" s="3"/>
      <c r="F38" s="4"/>
    </row>
    <row r="39" spans="1:8">
      <c r="A39" s="3"/>
      <c r="B39" s="46" t="s">
        <v>48</v>
      </c>
      <c r="C39" s="25">
        <f>SUM(C37:C38)</f>
        <v>518657.41</v>
      </c>
      <c r="D39" s="22">
        <f>C39/H2</f>
        <v>79068.812437400615</v>
      </c>
      <c r="E39" s="3"/>
      <c r="F39" s="4"/>
    </row>
    <row r="40" spans="1:8">
      <c r="A40" s="3"/>
      <c r="B40" s="3" t="s">
        <v>56</v>
      </c>
      <c r="C40" s="25">
        <v>41278</v>
      </c>
      <c r="D40" s="22">
        <f>C40/H2</f>
        <v>6292.7905335258256</v>
      </c>
      <c r="E40" s="3"/>
      <c r="F40" s="4"/>
    </row>
    <row r="41" spans="1:8">
      <c r="A41" s="3"/>
      <c r="B41" s="44" t="s">
        <v>49</v>
      </c>
      <c r="C41" s="25">
        <f>C39+C40</f>
        <v>559935.40999999992</v>
      </c>
      <c r="D41" s="22">
        <f>D39+D40</f>
        <v>85361.60297092644</v>
      </c>
      <c r="E41" s="3">
        <v>1.5629999999999999</v>
      </c>
      <c r="F41" s="4">
        <f>D41*E41</f>
        <v>133420.18544355803</v>
      </c>
    </row>
    <row r="42" spans="1:8">
      <c r="A42" s="3"/>
      <c r="B42" s="3" t="s">
        <v>50</v>
      </c>
      <c r="C42" s="25">
        <v>34700</v>
      </c>
      <c r="D42" s="22">
        <f>C42/H2</f>
        <v>5289.9808981381402</v>
      </c>
      <c r="E42" s="3">
        <v>1.5629999999999999</v>
      </c>
      <c r="F42" s="4">
        <f t="shared" ref="F42:F43" si="3">D42*E42</f>
        <v>8268.2401437899134</v>
      </c>
    </row>
    <row r="43" spans="1:8">
      <c r="A43" s="3"/>
      <c r="B43" s="3" t="s">
        <v>51</v>
      </c>
      <c r="C43" s="25">
        <v>11615</v>
      </c>
      <c r="D43" s="22">
        <f>C43/H2</f>
        <v>1770.6953352125215</v>
      </c>
      <c r="E43" s="3">
        <v>1.5629999999999999</v>
      </c>
      <c r="F43" s="4">
        <f t="shared" si="3"/>
        <v>2767.5968089371709</v>
      </c>
      <c r="H43" s="11"/>
    </row>
    <row r="44" spans="1:8" ht="15.5">
      <c r="A44" s="5" t="s">
        <v>27</v>
      </c>
      <c r="B44" s="45" t="s">
        <v>46</v>
      </c>
      <c r="C44" s="25">
        <f>C41+C42+C43</f>
        <v>606250.40999999992</v>
      </c>
      <c r="D44" s="22">
        <f>D41+D42+D43</f>
        <v>92422.279204277103</v>
      </c>
      <c r="E44" s="3">
        <v>1.5629999999999999</v>
      </c>
      <c r="F44" s="30">
        <f>D44*E44</f>
        <v>144456.02239628512</v>
      </c>
      <c r="H44" s="11"/>
    </row>
    <row r="45" spans="1:8">
      <c r="A45" s="5"/>
      <c r="B45" s="3"/>
      <c r="C45" s="25"/>
      <c r="D45" s="22"/>
      <c r="E45" s="3"/>
      <c r="F45" s="4"/>
    </row>
    <row r="46" spans="1:8">
      <c r="A46" s="2">
        <v>1996</v>
      </c>
      <c r="B46" s="3"/>
      <c r="C46" s="25"/>
      <c r="D46" s="22"/>
      <c r="E46" s="3"/>
      <c r="F46" s="4"/>
    </row>
    <row r="47" spans="1:8">
      <c r="A47" s="3"/>
      <c r="B47" s="3" t="s">
        <v>57</v>
      </c>
      <c r="C47" s="25">
        <v>23587.200000000001</v>
      </c>
      <c r="D47" s="22">
        <f>C47/H2</f>
        <v>3595.8454593822462</v>
      </c>
      <c r="E47" s="3">
        <v>1.5249999999999999</v>
      </c>
      <c r="F47" s="4">
        <f>D47*E47</f>
        <v>5483.6643255579247</v>
      </c>
    </row>
    <row r="48" spans="1:8">
      <c r="A48" s="3"/>
      <c r="B48" s="3" t="s">
        <v>26</v>
      </c>
      <c r="C48" s="25">
        <v>50352</v>
      </c>
      <c r="D48" s="22">
        <f>C48/H2</f>
        <v>7676.1129159380871</v>
      </c>
      <c r="E48" s="3">
        <v>1.5249999999999999</v>
      </c>
      <c r="F48" s="4">
        <f>D48*E48</f>
        <v>11706.072196805582</v>
      </c>
    </row>
    <row r="49" spans="1:6" ht="15.5">
      <c r="A49" s="5" t="s">
        <v>28</v>
      </c>
      <c r="B49" s="45" t="s">
        <v>46</v>
      </c>
      <c r="C49" s="25">
        <f>SUM(C47:C48)</f>
        <v>73939.199999999997</v>
      </c>
      <c r="D49" s="22">
        <f>SUM(D47:D48)</f>
        <v>11271.958375320333</v>
      </c>
      <c r="E49" s="3">
        <v>1.5249999999999999</v>
      </c>
      <c r="F49" s="6">
        <f>D49*E49</f>
        <v>17189.736522363506</v>
      </c>
    </row>
    <row r="50" spans="1:6">
      <c r="C50" s="34"/>
      <c r="E50" s="41"/>
    </row>
    <row r="51" spans="1:6">
      <c r="C51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4"/>
  <sheetViews>
    <sheetView workbookViewId="0">
      <selection activeCell="A20" sqref="A20"/>
    </sheetView>
  </sheetViews>
  <sheetFormatPr baseColWidth="10" defaultColWidth="8.7265625" defaultRowHeight="14.5"/>
  <cols>
    <col min="1" max="1" width="17.81640625" bestFit="1" customWidth="1"/>
    <col min="2" max="2" width="18.26953125" bestFit="1" customWidth="1"/>
    <col min="3" max="3" width="2" customWidth="1"/>
    <col min="4" max="4" width="7.81640625" bestFit="1" customWidth="1"/>
    <col min="5" max="5" width="25.54296875" bestFit="1" customWidth="1"/>
    <col min="6" max="6" width="2.26953125" customWidth="1"/>
    <col min="7" max="7" width="24.08984375" bestFit="1" customWidth="1"/>
    <col min="8" max="8" width="4.453125" customWidth="1"/>
    <col min="9" max="9" width="10.1796875" bestFit="1" customWidth="1"/>
    <col min="10" max="10" width="15.54296875" customWidth="1"/>
    <col min="11" max="11" width="12.08984375" bestFit="1" customWidth="1"/>
  </cols>
  <sheetData>
    <row r="1" spans="1:11">
      <c r="A1" s="7" t="s">
        <v>29</v>
      </c>
      <c r="B1" s="7" t="s">
        <v>52</v>
      </c>
      <c r="D1">
        <v>6.5595699999999999</v>
      </c>
      <c r="E1" s="7" t="s">
        <v>61</v>
      </c>
      <c r="G1" s="7" t="s">
        <v>60</v>
      </c>
      <c r="I1" s="59" t="s">
        <v>62</v>
      </c>
      <c r="J1" s="59"/>
    </row>
    <row r="2" spans="1:11">
      <c r="A2" s="55">
        <v>1991</v>
      </c>
      <c r="B2" s="58">
        <f>'CNAV CORR SANS PLAFOND 1 BULL96'!F10</f>
        <v>45871.639604425291</v>
      </c>
      <c r="C2" s="56"/>
      <c r="D2" s="57">
        <v>1.677</v>
      </c>
      <c r="E2" s="58">
        <f t="shared" ref="E2:E26" si="0">B2*D2</f>
        <v>76926.739616621213</v>
      </c>
      <c r="G2" s="41">
        <v>28639.72</v>
      </c>
      <c r="I2" s="41">
        <f>G2/D2</f>
        <v>17077.948717948719</v>
      </c>
      <c r="J2" s="25">
        <f>I2*$D$1</f>
        <v>112024.00007179487</v>
      </c>
    </row>
    <row r="3" spans="1:11">
      <c r="A3" s="55">
        <v>1992</v>
      </c>
      <c r="B3" s="58">
        <f>'CNAV CORR SANS PLAFOND 1 BULL96'!F18</f>
        <v>46415.483864033769</v>
      </c>
      <c r="C3" s="56"/>
      <c r="D3" s="57">
        <v>1.623</v>
      </c>
      <c r="E3" s="58">
        <f t="shared" si="0"/>
        <v>75332.330311326805</v>
      </c>
      <c r="G3" s="41">
        <v>36002.04</v>
      </c>
      <c r="I3" s="41">
        <f t="shared" ref="I3:I26" si="1">G3/D3</f>
        <v>22182.402957486138</v>
      </c>
      <c r="J3" s="25">
        <f>I3*$D$1</f>
        <v>145507.02496783735</v>
      </c>
    </row>
    <row r="4" spans="1:11" ht="15.5">
      <c r="A4" s="55">
        <v>1993</v>
      </c>
      <c r="B4" s="58">
        <f>'CNAV CORR SANS PLAFOND 1 BULL96'!F26</f>
        <v>61542.890477577035</v>
      </c>
      <c r="C4" s="56"/>
      <c r="D4" s="57">
        <v>1.623</v>
      </c>
      <c r="E4" s="58">
        <f t="shared" si="0"/>
        <v>99884.111245107531</v>
      </c>
      <c r="G4" s="41">
        <v>44216.54</v>
      </c>
      <c r="I4" s="41">
        <f t="shared" si="1"/>
        <v>27243.709180529884</v>
      </c>
      <c r="J4" s="25">
        <f t="shared" ref="J4:J9" si="2">I4*$D$1</f>
        <v>178707.01742932841</v>
      </c>
      <c r="K4" s="38"/>
    </row>
    <row r="5" spans="1:11">
      <c r="A5" s="55">
        <v>1994</v>
      </c>
      <c r="B5" s="58">
        <f>'CNAV CORR SANS PLAFOND 1 BULL96'!F34</f>
        <v>65435.439530335068</v>
      </c>
      <c r="C5" s="56"/>
      <c r="D5" s="57">
        <v>1.595</v>
      </c>
      <c r="E5" s="58">
        <f t="shared" si="0"/>
        <v>104369.52605088444</v>
      </c>
      <c r="G5" s="41">
        <v>47704.38</v>
      </c>
      <c r="I5" s="41">
        <f t="shared" si="1"/>
        <v>29908.702194357367</v>
      </c>
      <c r="J5" s="25">
        <f t="shared" si="2"/>
        <v>196188.22565304075</v>
      </c>
    </row>
    <row r="6" spans="1:11">
      <c r="A6" s="55">
        <v>1995</v>
      </c>
      <c r="B6" s="58">
        <f>'CNAV CORR SANS PLAFOND 1 BULL96'!F44</f>
        <v>144456.02239628512</v>
      </c>
      <c r="C6" s="56"/>
      <c r="D6" s="57">
        <v>1.577</v>
      </c>
      <c r="E6" s="58">
        <f t="shared" si="0"/>
        <v>227807.14731894163</v>
      </c>
      <c r="G6" s="41">
        <v>140146.81</v>
      </c>
      <c r="I6" s="41">
        <f t="shared" si="1"/>
        <v>88869.251743817382</v>
      </c>
      <c r="J6" s="25">
        <f t="shared" si="2"/>
        <v>582944.07766119216</v>
      </c>
      <c r="K6">
        <v>448344.41</v>
      </c>
    </row>
    <row r="7" spans="1:11">
      <c r="A7" s="55">
        <v>1996</v>
      </c>
      <c r="B7" s="58">
        <f>'CNAV CORR SANS PLAFOND 1 BULL96'!F49</f>
        <v>17189.736522363506</v>
      </c>
      <c r="C7" s="56"/>
      <c r="D7" s="57">
        <v>1.538</v>
      </c>
      <c r="E7" s="58">
        <f t="shared" si="0"/>
        <v>26437.814771395071</v>
      </c>
      <c r="G7" s="41">
        <v>27014.51</v>
      </c>
      <c r="I7" s="41">
        <f t="shared" si="1"/>
        <v>17564.700910273081</v>
      </c>
      <c r="J7" s="25">
        <f t="shared" si="2"/>
        <v>115216.88514999999</v>
      </c>
      <c r="K7">
        <f>'CORRIGE+BULLEIN2 DE 1996'!C37</f>
        <v>70313</v>
      </c>
    </row>
    <row r="8" spans="1:11">
      <c r="A8" s="3">
        <v>1997</v>
      </c>
      <c r="B8" s="41">
        <f>45288/D1</f>
        <v>6904.1110926478414</v>
      </c>
      <c r="D8" s="35">
        <v>1.522</v>
      </c>
      <c r="E8" s="42">
        <f t="shared" si="0"/>
        <v>10508.057083010015</v>
      </c>
      <c r="F8" s="39"/>
      <c r="G8" s="42">
        <f>E8</f>
        <v>10508.057083010015</v>
      </c>
      <c r="I8" s="41">
        <f t="shared" si="1"/>
        <v>6904.1110926478414</v>
      </c>
      <c r="J8" s="25">
        <f t="shared" si="2"/>
        <v>45288</v>
      </c>
      <c r="K8">
        <f>'CORRIGE+BULLEIN2 DE 1996'!C42</f>
        <v>34700</v>
      </c>
    </row>
    <row r="9" spans="1:11">
      <c r="A9" s="3">
        <v>1999</v>
      </c>
      <c r="B9" s="41">
        <f>51987/D1</f>
        <v>7925.3670591212531</v>
      </c>
      <c r="D9" s="35">
        <v>1.4870000000000001</v>
      </c>
      <c r="E9" s="42">
        <f t="shared" si="0"/>
        <v>11785.020816913304</v>
      </c>
      <c r="F9" s="39"/>
      <c r="G9" s="42">
        <f t="shared" ref="G9:G26" si="3">E9</f>
        <v>11785.020816913304</v>
      </c>
      <c r="I9" s="41">
        <f t="shared" si="1"/>
        <v>7925.3670591212531</v>
      </c>
      <c r="J9" s="25">
        <f t="shared" si="2"/>
        <v>51987</v>
      </c>
      <c r="K9">
        <v>19356</v>
      </c>
    </row>
    <row r="10" spans="1:11">
      <c r="A10" s="3">
        <v>2002</v>
      </c>
      <c r="B10" s="41">
        <v>9208</v>
      </c>
      <c r="D10" s="35">
        <v>1.4179999999999999</v>
      </c>
      <c r="E10" s="42">
        <f t="shared" si="0"/>
        <v>13056.944</v>
      </c>
      <c r="F10" s="39"/>
      <c r="G10" s="42">
        <f t="shared" si="3"/>
        <v>13056.944</v>
      </c>
      <c r="I10" s="41">
        <f t="shared" si="1"/>
        <v>9208</v>
      </c>
      <c r="J10" s="25"/>
      <c r="K10">
        <f>SUM(K6:K9)</f>
        <v>572713.40999999992</v>
      </c>
    </row>
    <row r="11" spans="1:11">
      <c r="A11" s="3">
        <v>2003</v>
      </c>
      <c r="B11" s="41">
        <v>9031</v>
      </c>
      <c r="D11" s="35">
        <v>1.395</v>
      </c>
      <c r="E11" s="42">
        <f t="shared" si="0"/>
        <v>12598.245000000001</v>
      </c>
      <c r="F11" s="39"/>
      <c r="G11" s="42">
        <f t="shared" si="3"/>
        <v>12598.245000000001</v>
      </c>
      <c r="I11" s="41">
        <f t="shared" si="1"/>
        <v>9031</v>
      </c>
      <c r="J11" s="25"/>
      <c r="K11" s="34">
        <f>J6-K10</f>
        <v>10230.667661192245</v>
      </c>
    </row>
    <row r="12" spans="1:11">
      <c r="A12" s="3">
        <v>2004</v>
      </c>
      <c r="B12" s="41">
        <v>18000</v>
      </c>
      <c r="D12" s="35">
        <v>1.3740000000000001</v>
      </c>
      <c r="E12" s="42">
        <f t="shared" si="0"/>
        <v>24732.000000000004</v>
      </c>
      <c r="F12" s="39"/>
      <c r="G12" s="42">
        <f t="shared" si="3"/>
        <v>24732.000000000004</v>
      </c>
      <c r="I12" s="41">
        <f t="shared" si="1"/>
        <v>18000</v>
      </c>
      <c r="J12" s="25"/>
      <c r="K12" s="34"/>
    </row>
    <row r="13" spans="1:11">
      <c r="A13" s="3">
        <v>2005</v>
      </c>
      <c r="B13" s="41">
        <v>18000</v>
      </c>
      <c r="D13" s="35">
        <v>1.3480000000000001</v>
      </c>
      <c r="E13" s="42">
        <f t="shared" si="0"/>
        <v>24264</v>
      </c>
      <c r="F13" s="39"/>
      <c r="G13" s="42">
        <f t="shared" si="3"/>
        <v>24264</v>
      </c>
      <c r="I13" s="41">
        <f t="shared" si="1"/>
        <v>18000</v>
      </c>
      <c r="J13" s="25"/>
    </row>
    <row r="14" spans="1:11">
      <c r="A14" s="3">
        <v>2006</v>
      </c>
      <c r="B14" s="41">
        <v>22000</v>
      </c>
      <c r="D14" s="35">
        <v>1.3240000000000001</v>
      </c>
      <c r="E14" s="42">
        <f t="shared" si="0"/>
        <v>29128</v>
      </c>
      <c r="F14" s="39"/>
      <c r="G14" s="42">
        <f t="shared" si="3"/>
        <v>29128</v>
      </c>
      <c r="I14" s="41">
        <f t="shared" si="1"/>
        <v>22000</v>
      </c>
      <c r="J14" s="25"/>
    </row>
    <row r="15" spans="1:11">
      <c r="A15" s="3">
        <v>2007</v>
      </c>
      <c r="B15" s="41">
        <v>17288.52</v>
      </c>
      <c r="D15" s="35">
        <v>1.302</v>
      </c>
      <c r="E15" s="42">
        <f t="shared" si="0"/>
        <v>22509.653040000001</v>
      </c>
      <c r="F15" s="39"/>
      <c r="G15" s="42">
        <f t="shared" si="3"/>
        <v>22509.653040000001</v>
      </c>
      <c r="I15" s="41">
        <f t="shared" si="1"/>
        <v>17288.52</v>
      </c>
      <c r="J15" s="25"/>
    </row>
    <row r="16" spans="1:11">
      <c r="A16" s="3">
        <v>2008</v>
      </c>
      <c r="B16" s="41">
        <v>15057.53</v>
      </c>
      <c r="D16" s="35">
        <v>1.29</v>
      </c>
      <c r="E16" s="42">
        <f t="shared" si="0"/>
        <v>19424.2137</v>
      </c>
      <c r="F16" s="39"/>
      <c r="G16" s="42">
        <f t="shared" si="3"/>
        <v>19424.2137</v>
      </c>
      <c r="I16" s="41">
        <f t="shared" si="1"/>
        <v>15057.53</v>
      </c>
      <c r="J16" s="25"/>
    </row>
    <row r="17" spans="1:10">
      <c r="A17" s="3">
        <v>2010</v>
      </c>
      <c r="B17" s="41">
        <v>18000</v>
      </c>
      <c r="D17" s="35">
        <v>1.2669999999999999</v>
      </c>
      <c r="E17" s="42">
        <f t="shared" si="0"/>
        <v>22806</v>
      </c>
      <c r="F17" s="39"/>
      <c r="G17" s="42">
        <f t="shared" si="3"/>
        <v>22806</v>
      </c>
      <c r="I17" s="41">
        <f t="shared" si="1"/>
        <v>18000</v>
      </c>
      <c r="J17" s="25"/>
    </row>
    <row r="18" spans="1:10">
      <c r="A18" s="3">
        <v>2011</v>
      </c>
      <c r="B18" s="41">
        <v>10500</v>
      </c>
      <c r="D18" s="35">
        <v>1.256</v>
      </c>
      <c r="E18" s="42">
        <f t="shared" si="0"/>
        <v>13188</v>
      </c>
      <c r="F18" s="39"/>
      <c r="G18" s="42">
        <f t="shared" si="3"/>
        <v>13188</v>
      </c>
      <c r="I18" s="41">
        <f t="shared" si="1"/>
        <v>10500</v>
      </c>
      <c r="J18" s="25"/>
    </row>
    <row r="19" spans="1:10">
      <c r="A19" s="3">
        <v>2012</v>
      </c>
      <c r="B19" s="41">
        <v>27117.040000000001</v>
      </c>
      <c r="D19" s="35">
        <v>1.2310000000000001</v>
      </c>
      <c r="E19" s="42">
        <f t="shared" si="0"/>
        <v>33381.076240000002</v>
      </c>
      <c r="F19" s="39"/>
      <c r="G19" s="42">
        <f t="shared" si="3"/>
        <v>33381.076240000002</v>
      </c>
      <c r="I19" s="41">
        <f t="shared" si="1"/>
        <v>27117.040000000001</v>
      </c>
      <c r="J19" s="25"/>
    </row>
    <row r="20" spans="1:10">
      <c r="A20" s="20">
        <v>2013</v>
      </c>
      <c r="B20" s="48">
        <v>33600</v>
      </c>
      <c r="C20" s="36"/>
      <c r="D20" s="37">
        <v>1.2050000000000001</v>
      </c>
      <c r="E20" s="48">
        <f t="shared" si="0"/>
        <v>40488</v>
      </c>
      <c r="F20" s="36"/>
      <c r="G20" s="48">
        <v>39988.17</v>
      </c>
      <c r="H20" s="36"/>
      <c r="I20" s="48">
        <f t="shared" si="1"/>
        <v>33185.20331950207</v>
      </c>
      <c r="J20" s="26"/>
    </row>
    <row r="21" spans="1:10">
      <c r="A21" s="3">
        <v>2014</v>
      </c>
      <c r="B21" s="41">
        <v>36000</v>
      </c>
      <c r="D21" s="35">
        <v>1.1910000000000001</v>
      </c>
      <c r="E21" s="42">
        <f t="shared" si="0"/>
        <v>42876</v>
      </c>
      <c r="F21" s="39"/>
      <c r="G21" s="42">
        <f t="shared" si="3"/>
        <v>42876</v>
      </c>
      <c r="I21" s="41">
        <f t="shared" si="1"/>
        <v>36000</v>
      </c>
      <c r="J21" s="25"/>
    </row>
    <row r="22" spans="1:10">
      <c r="A22" s="3">
        <v>2015</v>
      </c>
      <c r="B22" s="41">
        <v>36000</v>
      </c>
      <c r="D22" s="35">
        <v>1.1910000000000001</v>
      </c>
      <c r="E22" s="42">
        <f t="shared" si="0"/>
        <v>42876</v>
      </c>
      <c r="F22" s="39"/>
      <c r="G22" s="42">
        <f t="shared" si="3"/>
        <v>42876</v>
      </c>
      <c r="I22" s="41">
        <f t="shared" si="1"/>
        <v>36000</v>
      </c>
      <c r="J22" s="25"/>
    </row>
    <row r="23" spans="1:10">
      <c r="A23" s="3">
        <v>2016</v>
      </c>
      <c r="B23" s="41">
        <v>36000</v>
      </c>
      <c r="D23" s="35">
        <v>1.19</v>
      </c>
      <c r="E23" s="42">
        <f t="shared" si="0"/>
        <v>42840</v>
      </c>
      <c r="F23" s="39"/>
      <c r="G23" s="42">
        <f t="shared" si="3"/>
        <v>42840</v>
      </c>
      <c r="I23" s="41">
        <f t="shared" si="1"/>
        <v>36000</v>
      </c>
      <c r="J23" s="25"/>
    </row>
    <row r="24" spans="1:10">
      <c r="A24" s="3">
        <v>2017</v>
      </c>
      <c r="B24" s="41">
        <v>36000</v>
      </c>
      <c r="D24" s="35">
        <v>1.19</v>
      </c>
      <c r="E24" s="42">
        <f t="shared" si="0"/>
        <v>42840</v>
      </c>
      <c r="F24" s="39"/>
      <c r="G24" s="42">
        <f t="shared" si="3"/>
        <v>42840</v>
      </c>
      <c r="I24" s="41">
        <f t="shared" si="1"/>
        <v>36000</v>
      </c>
      <c r="J24" s="25"/>
    </row>
    <row r="25" spans="1:10">
      <c r="A25" s="3">
        <v>2018</v>
      </c>
      <c r="B25" s="41">
        <v>36000</v>
      </c>
      <c r="D25" s="35">
        <v>1.181</v>
      </c>
      <c r="E25" s="42">
        <f t="shared" si="0"/>
        <v>42516</v>
      </c>
      <c r="F25" s="39"/>
      <c r="G25" s="42">
        <f t="shared" si="3"/>
        <v>42516</v>
      </c>
      <c r="I25" s="41">
        <f t="shared" si="1"/>
        <v>36000</v>
      </c>
      <c r="J25" s="25"/>
    </row>
    <row r="26" spans="1:10">
      <c r="A26" s="3">
        <v>2025</v>
      </c>
      <c r="B26" s="41">
        <v>22031</v>
      </c>
      <c r="D26" s="35">
        <v>1.0089999999999999</v>
      </c>
      <c r="E26" s="42">
        <f t="shared" si="0"/>
        <v>22229.278999999999</v>
      </c>
      <c r="F26" s="40"/>
      <c r="G26" s="42">
        <f t="shared" si="3"/>
        <v>22229.278999999999</v>
      </c>
      <c r="I26" s="41">
        <f t="shared" si="1"/>
        <v>22031</v>
      </c>
      <c r="J26" s="25"/>
    </row>
    <row r="27" spans="1:10">
      <c r="E27" s="41"/>
      <c r="G27" s="41"/>
    </row>
    <row r="28" spans="1:10">
      <c r="A28" s="8" t="s">
        <v>30</v>
      </c>
      <c r="B28" s="9"/>
      <c r="D28" s="11"/>
      <c r="E28" s="41">
        <f>SUM(E2:E26)</f>
        <v>1124804.1581942001</v>
      </c>
      <c r="G28" s="41">
        <f>SUM(G2:G27)</f>
        <v>837270.65887992328</v>
      </c>
    </row>
    <row r="29" spans="1:10">
      <c r="A29" s="8" t="s">
        <v>31</v>
      </c>
      <c r="B29" s="9"/>
      <c r="E29" s="41">
        <f>E28/25</f>
        <v>44992.166327768005</v>
      </c>
      <c r="G29" s="41">
        <f>G28/25</f>
        <v>33490.826355196928</v>
      </c>
    </row>
    <row r="30" spans="1:10">
      <c r="E30" s="41"/>
      <c r="G30" s="41"/>
    </row>
    <row r="31" spans="1:10" ht="15.5">
      <c r="A31" s="10" t="s">
        <v>32</v>
      </c>
      <c r="E31" s="41"/>
      <c r="G31" s="41"/>
    </row>
    <row r="32" spans="1:10">
      <c r="A32" t="s">
        <v>33</v>
      </c>
      <c r="B32" s="12"/>
      <c r="D32" s="12">
        <v>0.5</v>
      </c>
      <c r="E32" s="41">
        <f>E29*D32</f>
        <v>22496.083163884003</v>
      </c>
      <c r="G32" s="41">
        <f>G29*D32</f>
        <v>16745.413177598464</v>
      </c>
    </row>
    <row r="33" spans="1:7">
      <c r="A33" s="13" t="s">
        <v>34</v>
      </c>
      <c r="B33" s="14"/>
      <c r="D33" s="14"/>
      <c r="E33" s="41">
        <f>(E32/167)*121</f>
        <v>16299.557262454875</v>
      </c>
      <c r="G33" s="41">
        <f>(G32/167)*121</f>
        <v>12132.904158619247</v>
      </c>
    </row>
    <row r="34" spans="1:7" ht="15.5">
      <c r="A34" s="15" t="s">
        <v>35</v>
      </c>
      <c r="E34" s="43">
        <f>E33/12</f>
        <v>1358.2964385379062</v>
      </c>
      <c r="G34" s="41">
        <f>G33/12</f>
        <v>1011.075346551604</v>
      </c>
    </row>
  </sheetData>
  <mergeCells count="1">
    <mergeCell ref="I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topLeftCell="A33" workbookViewId="0">
      <selection activeCell="B53" sqref="B53"/>
    </sheetView>
  </sheetViews>
  <sheetFormatPr baseColWidth="10" defaultColWidth="8.7265625" defaultRowHeight="14.5"/>
  <cols>
    <col min="1" max="1" width="20" customWidth="1"/>
    <col min="2" max="2" width="30.54296875" bestFit="1" customWidth="1"/>
    <col min="3" max="5" width="15" customWidth="1"/>
    <col min="6" max="6" width="11.1796875" bestFit="1" customWidth="1"/>
    <col min="7" max="7" width="3.26953125" customWidth="1"/>
    <col min="8" max="8" width="10.54296875" customWidth="1"/>
    <col min="9" max="9" width="10.1796875" bestFit="1" customWidth="1"/>
  </cols>
  <sheetData>
    <row r="1" spans="1:9" ht="29">
      <c r="A1" s="1" t="s">
        <v>54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H1" s="16" t="s">
        <v>38</v>
      </c>
    </row>
    <row r="2" spans="1:9">
      <c r="A2" s="2">
        <v>1990</v>
      </c>
      <c r="B2" s="3"/>
      <c r="C2" s="3"/>
      <c r="D2" s="3"/>
      <c r="E2" s="3"/>
      <c r="H2">
        <v>6.5595699999999999</v>
      </c>
    </row>
    <row r="3" spans="1:9">
      <c r="A3" s="3"/>
      <c r="B3" s="3" t="s">
        <v>70</v>
      </c>
      <c r="C3" s="25">
        <v>33120</v>
      </c>
      <c r="D3" s="22">
        <v>5049.1099999999997</v>
      </c>
      <c r="E3" s="3">
        <v>1.6890000000000001</v>
      </c>
      <c r="F3" s="4">
        <f>D3*E3</f>
        <v>8527.94679</v>
      </c>
    </row>
    <row r="4" spans="1:9">
      <c r="A4" s="3"/>
      <c r="B4" s="3" t="s">
        <v>43</v>
      </c>
      <c r="C4" s="25">
        <v>19791.71</v>
      </c>
      <c r="D4" s="22">
        <v>3017.23</v>
      </c>
      <c r="E4" s="3">
        <v>1.6890000000000001</v>
      </c>
      <c r="F4" s="4">
        <f>D4*E4</f>
        <v>5096.1014700000005</v>
      </c>
    </row>
    <row r="5" spans="1:9">
      <c r="A5" s="5" t="s">
        <v>11</v>
      </c>
      <c r="B5" s="44" t="s">
        <v>40</v>
      </c>
      <c r="C5" s="25">
        <f>SUM(C3:C4)</f>
        <v>52911.71</v>
      </c>
      <c r="D5" s="22">
        <f>SUM(D3:D4)</f>
        <v>8066.34</v>
      </c>
      <c r="E5" s="3">
        <v>1.6890000000000001</v>
      </c>
      <c r="F5" s="28">
        <f>D5*E5</f>
        <v>13624.048260000001</v>
      </c>
      <c r="I5" s="18"/>
    </row>
    <row r="6" spans="1:9">
      <c r="A6" s="3"/>
      <c r="B6" s="3"/>
      <c r="C6" s="25"/>
      <c r="D6" s="22"/>
      <c r="F6" s="11"/>
      <c r="I6" s="18"/>
    </row>
    <row r="7" spans="1:9">
      <c r="A7" s="2">
        <v>1991</v>
      </c>
      <c r="B7" s="3"/>
      <c r="C7" s="25"/>
      <c r="D7" s="22"/>
      <c r="E7" s="3"/>
      <c r="F7" s="3"/>
      <c r="I7" s="18"/>
    </row>
    <row r="8" spans="1:9">
      <c r="A8" s="3"/>
      <c r="B8" s="3" t="s">
        <v>69</v>
      </c>
      <c r="C8" s="25">
        <v>112024</v>
      </c>
      <c r="D8" s="22">
        <v>17077.95</v>
      </c>
      <c r="E8" s="3"/>
      <c r="F8" s="4"/>
      <c r="I8" s="18"/>
    </row>
    <row r="9" spans="1:9">
      <c r="A9" s="3"/>
      <c r="B9" s="3" t="s">
        <v>71</v>
      </c>
      <c r="C9" s="25">
        <v>68913</v>
      </c>
      <c r="D9" s="22">
        <v>10505.72</v>
      </c>
      <c r="E9" s="3"/>
      <c r="F9" s="4"/>
      <c r="I9" s="18"/>
    </row>
    <row r="10" spans="1:9">
      <c r="A10" s="5" t="s">
        <v>14</v>
      </c>
      <c r="B10" s="44" t="s">
        <v>40</v>
      </c>
      <c r="C10" s="25">
        <f>SUM(C8:C9)</f>
        <v>180937</v>
      </c>
      <c r="D10" s="22">
        <f>SUM(D8:D9)</f>
        <v>27583.67</v>
      </c>
      <c r="E10" s="3">
        <v>1.663</v>
      </c>
      <c r="F10" s="28">
        <f>D10*E10</f>
        <v>45871.643209999995</v>
      </c>
      <c r="I10" s="18"/>
    </row>
    <row r="11" spans="1:9">
      <c r="A11" s="3"/>
      <c r="B11" s="3"/>
      <c r="C11" s="25"/>
      <c r="D11" s="23"/>
      <c r="E11" s="3"/>
      <c r="F11" s="3"/>
      <c r="I11" s="18"/>
    </row>
    <row r="12" spans="1:9">
      <c r="A12" s="2">
        <v>1992</v>
      </c>
      <c r="B12" s="3"/>
      <c r="C12" s="25"/>
      <c r="D12" s="22"/>
      <c r="E12" s="3"/>
      <c r="F12" s="3"/>
    </row>
    <row r="13" spans="1:9">
      <c r="A13" s="3"/>
      <c r="B13" s="3" t="s">
        <v>68</v>
      </c>
      <c r="C13" s="25">
        <v>103829</v>
      </c>
      <c r="D13" s="22">
        <f>C13/H2</f>
        <v>15828.629010743083</v>
      </c>
      <c r="E13" s="3"/>
      <c r="F13" s="4"/>
    </row>
    <row r="14" spans="1:9">
      <c r="A14" s="3"/>
      <c r="B14" s="3" t="s">
        <v>42</v>
      </c>
      <c r="C14" s="25">
        <v>63512.61</v>
      </c>
      <c r="D14" s="22">
        <f>C14/H2</f>
        <v>9682.4349766829237</v>
      </c>
      <c r="E14" s="3"/>
      <c r="F14" s="4"/>
    </row>
    <row r="15" spans="1:9">
      <c r="A15" s="3"/>
      <c r="B15" s="44" t="s">
        <v>44</v>
      </c>
      <c r="C15" s="25">
        <f>C13+C14</f>
        <v>167341.60999999999</v>
      </c>
      <c r="D15" s="22">
        <f>SUM(D13:D14)</f>
        <v>25511.063987426009</v>
      </c>
      <c r="E15" s="3">
        <v>1.609</v>
      </c>
      <c r="F15" s="4">
        <f>D15*E15</f>
        <v>41047.301955768446</v>
      </c>
    </row>
    <row r="16" spans="1:9">
      <c r="A16" s="3"/>
      <c r="B16" s="3" t="s">
        <v>16</v>
      </c>
      <c r="C16" s="25">
        <v>16485</v>
      </c>
      <c r="D16" s="22">
        <f>C16/H2</f>
        <v>2513.1220491587101</v>
      </c>
      <c r="E16" s="3">
        <v>1.609</v>
      </c>
      <c r="F16" s="4">
        <f t="shared" ref="F16:F17" si="0">D16*E16</f>
        <v>4043.6133770963643</v>
      </c>
    </row>
    <row r="17" spans="1:8">
      <c r="A17" s="3"/>
      <c r="B17" s="3" t="s">
        <v>17</v>
      </c>
      <c r="C17" s="25">
        <v>5400</v>
      </c>
      <c r="D17" s="22">
        <f>C17/H2</f>
        <v>823.22469308201607</v>
      </c>
      <c r="E17" s="3">
        <v>1.609</v>
      </c>
      <c r="F17" s="4">
        <f t="shared" si="0"/>
        <v>1324.5685311689638</v>
      </c>
    </row>
    <row r="18" spans="1:8" ht="15.5">
      <c r="A18" s="5" t="s">
        <v>19</v>
      </c>
      <c r="B18" s="45" t="s">
        <v>46</v>
      </c>
      <c r="C18" s="25">
        <f>C15+C16+C17</f>
        <v>189226.61</v>
      </c>
      <c r="D18" s="22">
        <f>SUM(D15:D17)</f>
        <v>28847.410729666732</v>
      </c>
      <c r="E18" s="3">
        <v>1.609</v>
      </c>
      <c r="F18" s="28">
        <f>D18*E18</f>
        <v>46415.483864033769</v>
      </c>
      <c r="H18" s="11"/>
    </row>
    <row r="19" spans="1:8">
      <c r="A19" s="3"/>
      <c r="B19" s="3"/>
      <c r="C19" s="25"/>
      <c r="D19" s="22"/>
      <c r="E19" s="3"/>
      <c r="F19" s="11"/>
    </row>
    <row r="20" spans="1:8">
      <c r="A20" s="2">
        <v>1993</v>
      </c>
      <c r="B20" s="3"/>
      <c r="C20" s="25"/>
      <c r="D20" s="22"/>
      <c r="E20" s="3"/>
    </row>
    <row r="21" spans="1:8">
      <c r="A21" s="3"/>
      <c r="B21" s="3" t="s">
        <v>67</v>
      </c>
      <c r="C21" s="25">
        <v>99462</v>
      </c>
      <c r="D21" s="22">
        <f>C21/H2</f>
        <v>15162.884152467312</v>
      </c>
      <c r="E21" s="22"/>
      <c r="F21" s="22"/>
    </row>
    <row r="22" spans="1:8">
      <c r="A22" s="3"/>
      <c r="B22" s="3" t="s">
        <v>37</v>
      </c>
      <c r="C22" s="25">
        <v>72191.009999999995</v>
      </c>
      <c r="D22" s="22">
        <f>C22/H2</f>
        <v>11005.448527876064</v>
      </c>
      <c r="E22" s="22"/>
      <c r="F22" s="22"/>
    </row>
    <row r="23" spans="1:8">
      <c r="A23" s="3"/>
      <c r="B23" s="44" t="s">
        <v>44</v>
      </c>
      <c r="C23" s="25">
        <f>SUM(C21:C22)</f>
        <v>171653.01</v>
      </c>
      <c r="D23" s="22">
        <f>SUM(D21:D22)</f>
        <v>26168.332680343374</v>
      </c>
      <c r="E23" s="3">
        <v>1.609</v>
      </c>
      <c r="F23" s="22">
        <f>D23*E23</f>
        <v>42104.84728267249</v>
      </c>
    </row>
    <row r="24" spans="1:8">
      <c r="A24" s="3"/>
      <c r="B24" s="3" t="s">
        <v>16</v>
      </c>
      <c r="C24" s="25">
        <v>70245</v>
      </c>
      <c r="D24" s="22">
        <f>C24/H2</f>
        <v>10708.781215841893</v>
      </c>
      <c r="E24" s="3">
        <v>1.609</v>
      </c>
      <c r="F24" s="22">
        <f t="shared" ref="F24:F25" si="1">D24*E24</f>
        <v>17230.428976289604</v>
      </c>
    </row>
    <row r="25" spans="1:8">
      <c r="A25" s="3"/>
      <c r="B25" s="3" t="s">
        <v>17</v>
      </c>
      <c r="C25" s="25">
        <v>9000</v>
      </c>
      <c r="D25" s="22">
        <f>C25/H2</f>
        <v>1372.0411551366935</v>
      </c>
      <c r="E25" s="3">
        <v>1.609</v>
      </c>
      <c r="F25" s="22">
        <f t="shared" si="1"/>
        <v>2207.61421861494</v>
      </c>
      <c r="H25" s="41"/>
    </row>
    <row r="26" spans="1:8">
      <c r="A26" s="5" t="s">
        <v>20</v>
      </c>
      <c r="B26" s="3" t="s">
        <v>46</v>
      </c>
      <c r="C26" s="25">
        <f>C23+C24+C25</f>
        <v>250898.01</v>
      </c>
      <c r="D26" s="25">
        <f>D23+D24+D25</f>
        <v>38249.155051321963</v>
      </c>
      <c r="E26" s="3">
        <v>1.609</v>
      </c>
      <c r="F26" s="28">
        <f>D26*E26</f>
        <v>61542.890477577035</v>
      </c>
    </row>
    <row r="27" spans="1:8">
      <c r="A27" s="3"/>
      <c r="B27" s="3"/>
      <c r="C27" s="25"/>
      <c r="D27" s="22"/>
    </row>
    <row r="28" spans="1:8">
      <c r="A28" s="2">
        <v>1994</v>
      </c>
      <c r="B28" s="3"/>
      <c r="C28" s="25"/>
      <c r="D28" s="22"/>
      <c r="E28" s="3"/>
    </row>
    <row r="29" spans="1:8">
      <c r="A29" s="3"/>
      <c r="B29" s="3" t="s">
        <v>65</v>
      </c>
      <c r="C29" s="25">
        <v>139800</v>
      </c>
      <c r="D29" s="22">
        <f>C29/H2</f>
        <v>21312.372609789971</v>
      </c>
      <c r="E29" s="3"/>
      <c r="F29" s="22"/>
    </row>
    <row r="30" spans="1:8">
      <c r="A30" s="3"/>
      <c r="B30" s="3" t="s">
        <v>72</v>
      </c>
      <c r="C30" s="25">
        <v>84581.68</v>
      </c>
      <c r="D30" s="22">
        <f>C30/H2</f>
        <v>12894.393992289128</v>
      </c>
      <c r="E30" s="3"/>
      <c r="F30" s="22"/>
    </row>
    <row r="31" spans="1:8">
      <c r="A31" s="3"/>
      <c r="B31" s="44" t="s">
        <v>44</v>
      </c>
      <c r="C31" s="25">
        <f>SUM(C29:C30)</f>
        <v>224381.68</v>
      </c>
      <c r="D31" s="22">
        <f>SUM(D29:D30)</f>
        <v>34206.7666020791</v>
      </c>
      <c r="E31" s="3">
        <v>1.581</v>
      </c>
      <c r="F31" s="22">
        <f>D31*E31</f>
        <v>54080.897997887056</v>
      </c>
    </row>
    <row r="32" spans="1:8">
      <c r="A32" s="3"/>
      <c r="B32" s="3" t="s">
        <v>16</v>
      </c>
      <c r="C32" s="25">
        <v>30760</v>
      </c>
      <c r="D32" s="22">
        <f>C32/H2</f>
        <v>4689.3317702227432</v>
      </c>
      <c r="E32" s="3">
        <v>1.581</v>
      </c>
      <c r="F32" s="22">
        <f t="shared" ref="F32:F33" si="2">D32*E32</f>
        <v>7413.8335287221571</v>
      </c>
    </row>
    <row r="33" spans="1:8">
      <c r="A33" s="3"/>
      <c r="B33" s="3" t="s">
        <v>47</v>
      </c>
      <c r="C33" s="25">
        <v>16350</v>
      </c>
      <c r="D33" s="22">
        <f>C33/H2</f>
        <v>2492.5414318316598</v>
      </c>
      <c r="E33" s="3">
        <v>1.581</v>
      </c>
      <c r="F33" s="22">
        <f t="shared" si="2"/>
        <v>3940.7080037258538</v>
      </c>
    </row>
    <row r="34" spans="1:8" ht="15.5">
      <c r="A34" s="5" t="s">
        <v>23</v>
      </c>
      <c r="B34" s="45" t="s">
        <v>46</v>
      </c>
      <c r="C34" s="25">
        <f>C31+C32+C33</f>
        <v>271491.68</v>
      </c>
      <c r="D34" s="22">
        <f>D31+D32+D33</f>
        <v>41388.639804133505</v>
      </c>
      <c r="E34" s="3">
        <v>1.581</v>
      </c>
      <c r="F34" s="30">
        <f>D34*E34</f>
        <v>65435.439530335068</v>
      </c>
    </row>
    <row r="35" spans="1:8">
      <c r="A35" s="5"/>
      <c r="B35" s="3"/>
      <c r="C35" s="25"/>
      <c r="D35" s="22"/>
      <c r="E35" s="3"/>
    </row>
    <row r="36" spans="1:8">
      <c r="A36" s="2">
        <v>1995</v>
      </c>
      <c r="B36" s="3"/>
      <c r="C36" s="25"/>
      <c r="D36" s="22"/>
      <c r="E36" s="3"/>
      <c r="H36" s="11"/>
    </row>
    <row r="37" spans="1:8">
      <c r="A37" s="3"/>
      <c r="B37" s="3" t="s">
        <v>66</v>
      </c>
      <c r="C37" s="25">
        <v>70313</v>
      </c>
      <c r="D37" s="22">
        <f>C37/H2</f>
        <v>10719.147749014037</v>
      </c>
      <c r="E37" s="3"/>
      <c r="F37" s="4"/>
    </row>
    <row r="38" spans="1:8">
      <c r="A38" s="3"/>
      <c r="B38" s="3" t="s">
        <v>55</v>
      </c>
      <c r="C38" s="25">
        <v>180630.23</v>
      </c>
      <c r="D38" s="22">
        <f>C38/H2</f>
        <v>27536.901046867402</v>
      </c>
      <c r="E38" s="3"/>
      <c r="F38" s="4"/>
    </row>
    <row r="39" spans="1:8">
      <c r="A39" s="3"/>
      <c r="B39" s="46" t="s">
        <v>48</v>
      </c>
      <c r="C39" s="25">
        <f>SUM(C37:C38)</f>
        <v>250943.23</v>
      </c>
      <c r="D39" s="22">
        <f>C39/H2</f>
        <v>38256.048795881441</v>
      </c>
      <c r="E39" s="3"/>
      <c r="F39" s="4"/>
    </row>
    <row r="40" spans="1:8">
      <c r="A40" s="3"/>
      <c r="B40" s="3" t="s">
        <v>56</v>
      </c>
      <c r="C40" s="25">
        <v>41278</v>
      </c>
      <c r="D40" s="22">
        <f>C40/H2</f>
        <v>6292.7905335258256</v>
      </c>
      <c r="E40" s="3"/>
      <c r="F40" s="4"/>
    </row>
    <row r="41" spans="1:8">
      <c r="A41" s="3"/>
      <c r="B41" s="44" t="s">
        <v>49</v>
      </c>
      <c r="C41" s="25">
        <f>C39+C40</f>
        <v>292221.23</v>
      </c>
      <c r="D41" s="22">
        <f>D39+D40</f>
        <v>44548.839329407267</v>
      </c>
      <c r="E41" s="3">
        <v>1.5629999999999999</v>
      </c>
      <c r="F41" s="4">
        <f>D41*E41</f>
        <v>69629.835871863557</v>
      </c>
    </row>
    <row r="42" spans="1:8">
      <c r="A42" s="3"/>
      <c r="B42" s="3" t="s">
        <v>50</v>
      </c>
      <c r="C42" s="25">
        <v>34700</v>
      </c>
      <c r="D42" s="22">
        <f>C42/H2</f>
        <v>5289.9808981381402</v>
      </c>
      <c r="E42" s="3">
        <v>1.5629999999999999</v>
      </c>
      <c r="F42" s="4">
        <f t="shared" ref="F42:F43" si="3">D42*E42</f>
        <v>8268.2401437899134</v>
      </c>
    </row>
    <row r="43" spans="1:8">
      <c r="A43" s="3"/>
      <c r="B43" s="3" t="s">
        <v>51</v>
      </c>
      <c r="C43" s="25">
        <v>11615</v>
      </c>
      <c r="D43" s="22">
        <f>C43/H2</f>
        <v>1770.6953352125215</v>
      </c>
      <c r="E43" s="3">
        <v>1.5629999999999999</v>
      </c>
      <c r="F43" s="4">
        <f t="shared" si="3"/>
        <v>2767.5968089371709</v>
      </c>
      <c r="H43" s="11"/>
    </row>
    <row r="44" spans="1:8" ht="15.5">
      <c r="A44" s="5" t="s">
        <v>27</v>
      </c>
      <c r="B44" s="45" t="s">
        <v>46</v>
      </c>
      <c r="C44" s="25">
        <f>C41+C42+C43</f>
        <v>338536.23</v>
      </c>
      <c r="D44" s="22">
        <f>D41+D42+D43</f>
        <v>51609.51556275793</v>
      </c>
      <c r="E44" s="3">
        <v>1.5629999999999999</v>
      </c>
      <c r="F44" s="30">
        <f>D44*E44</f>
        <v>80665.672824590642</v>
      </c>
      <c r="H44" s="11"/>
    </row>
    <row r="45" spans="1:8">
      <c r="A45" s="5"/>
      <c r="B45" s="3"/>
      <c r="C45" s="25"/>
      <c r="D45" s="22"/>
      <c r="E45" s="3"/>
    </row>
    <row r="46" spans="1:8">
      <c r="A46" s="2">
        <v>1996</v>
      </c>
      <c r="B46" s="3"/>
      <c r="C46" s="25"/>
      <c r="D46" s="22"/>
      <c r="E46" s="3"/>
    </row>
    <row r="47" spans="1:8">
      <c r="A47" s="3"/>
      <c r="B47" s="3" t="s">
        <v>57</v>
      </c>
      <c r="C47" s="25">
        <v>23587.200000000001</v>
      </c>
      <c r="D47" s="22">
        <f>C47/H2</f>
        <v>3595.8454593822462</v>
      </c>
      <c r="E47" s="3"/>
      <c r="F47" s="4"/>
    </row>
    <row r="48" spans="1:8">
      <c r="A48" s="3"/>
      <c r="B48" s="3" t="s">
        <v>58</v>
      </c>
      <c r="C48" s="25">
        <v>55827.8</v>
      </c>
      <c r="D48" s="22">
        <f>C48/H2</f>
        <v>8510.8932445267001</v>
      </c>
      <c r="E48" s="3"/>
      <c r="F48" s="4"/>
    </row>
    <row r="49" spans="1:6">
      <c r="A49" s="3"/>
      <c r="B49" s="3" t="s">
        <v>59</v>
      </c>
      <c r="C49" s="25">
        <f>C47+C48</f>
        <v>79415</v>
      </c>
      <c r="D49" s="22">
        <f>SUM(D47:D48)</f>
        <v>12106.738703908946</v>
      </c>
      <c r="E49" s="3">
        <v>1.5249999999999999</v>
      </c>
      <c r="F49" s="4">
        <f>D49*E49</f>
        <v>18462.776523461143</v>
      </c>
    </row>
    <row r="50" spans="1:6">
      <c r="A50" s="3"/>
      <c r="B50" s="3" t="s">
        <v>26</v>
      </c>
      <c r="C50" s="25">
        <v>50352</v>
      </c>
      <c r="D50" s="22">
        <f>C50/H2</f>
        <v>7676.1129159380871</v>
      </c>
      <c r="E50" s="3">
        <v>1.5249999999999999</v>
      </c>
      <c r="F50" s="4">
        <f>D50*E50</f>
        <v>11706.072196805582</v>
      </c>
    </row>
    <row r="51" spans="1:6" ht="15.5">
      <c r="A51" s="5" t="s">
        <v>28</v>
      </c>
      <c r="B51" s="45" t="s">
        <v>46</v>
      </c>
      <c r="C51" s="25">
        <f>C49+C50</f>
        <v>129767</v>
      </c>
      <c r="D51" s="22">
        <f>D49+D50</f>
        <v>19782.851619847032</v>
      </c>
      <c r="E51" s="3">
        <v>1.5249999999999999</v>
      </c>
      <c r="F51" s="6">
        <f>D51*E51</f>
        <v>30168.84872026672</v>
      </c>
    </row>
    <row r="52" spans="1:6">
      <c r="E52" s="41"/>
    </row>
    <row r="53" spans="1:6">
      <c r="C53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4"/>
  <sheetViews>
    <sheetView tabSelected="1" topLeftCell="A15" workbookViewId="0">
      <selection activeCell="H37" sqref="H37"/>
    </sheetView>
  </sheetViews>
  <sheetFormatPr baseColWidth="10" defaultColWidth="8.7265625" defaultRowHeight="14.5"/>
  <cols>
    <col min="1" max="1" width="17.81640625" bestFit="1" customWidth="1"/>
    <col min="2" max="2" width="18.26953125" bestFit="1" customWidth="1"/>
    <col min="3" max="3" width="2" customWidth="1"/>
    <col min="4" max="4" width="7.81640625" bestFit="1" customWidth="1"/>
    <col min="5" max="5" width="25.54296875" bestFit="1" customWidth="1"/>
    <col min="6" max="6" width="2.26953125" customWidth="1"/>
    <col min="7" max="7" width="24.08984375" bestFit="1" customWidth="1"/>
    <col min="8" max="8" width="4.453125" customWidth="1"/>
    <col min="9" max="9" width="10.1796875" bestFit="1" customWidth="1"/>
    <col min="10" max="10" width="15.54296875" customWidth="1"/>
    <col min="11" max="11" width="12.08984375" bestFit="1" customWidth="1"/>
  </cols>
  <sheetData>
    <row r="1" spans="1:11">
      <c r="A1" s="7" t="s">
        <v>29</v>
      </c>
      <c r="B1" s="7" t="s">
        <v>52</v>
      </c>
      <c r="D1">
        <v>6.5595699999999999</v>
      </c>
      <c r="E1" s="7" t="s">
        <v>61</v>
      </c>
      <c r="G1" s="7" t="s">
        <v>60</v>
      </c>
      <c r="I1" s="59" t="s">
        <v>62</v>
      </c>
      <c r="J1" s="59"/>
    </row>
    <row r="2" spans="1:11">
      <c r="A2" s="55">
        <v>1991</v>
      </c>
      <c r="B2" s="58">
        <f>'CNAV CORR SANS PLAFOND 1 BULL96'!F10</f>
        <v>45871.639604425291</v>
      </c>
      <c r="C2" s="56"/>
      <c r="D2" s="57">
        <v>1.677</v>
      </c>
      <c r="E2" s="58">
        <f t="shared" ref="E2:E26" si="0">B2*D2</f>
        <v>76926.739616621213</v>
      </c>
      <c r="G2" s="41">
        <v>28639.72</v>
      </c>
      <c r="I2" s="41">
        <f>G2/D2</f>
        <v>17077.948717948719</v>
      </c>
      <c r="J2" s="25">
        <f>I2*$D$1</f>
        <v>112024.00007179487</v>
      </c>
    </row>
    <row r="3" spans="1:11">
      <c r="A3" s="55">
        <v>1992</v>
      </c>
      <c r="B3" s="58">
        <f>'CNAV CORR SANS PLAFOND 1 BULL96'!F18</f>
        <v>46415.483864033769</v>
      </c>
      <c r="C3" s="56"/>
      <c r="D3" s="57">
        <v>1.623</v>
      </c>
      <c r="E3" s="58">
        <f t="shared" si="0"/>
        <v>75332.330311326805</v>
      </c>
      <c r="G3" s="41">
        <v>36002.04</v>
      </c>
      <c r="I3" s="41">
        <f t="shared" ref="I3:I26" si="1">G3/D3</f>
        <v>22182.402957486138</v>
      </c>
      <c r="J3" s="25">
        <f>I3*$D$1</f>
        <v>145507.02496783735</v>
      </c>
    </row>
    <row r="4" spans="1:11" ht="15.5">
      <c r="A4" s="55">
        <v>1993</v>
      </c>
      <c r="B4" s="58">
        <f>'CNAV CORR SANS PLAFOND 1 BULL96'!F26</f>
        <v>61542.890477577035</v>
      </c>
      <c r="C4" s="56"/>
      <c r="D4" s="57">
        <v>1.623</v>
      </c>
      <c r="E4" s="58">
        <f t="shared" si="0"/>
        <v>99884.111245107531</v>
      </c>
      <c r="G4" s="41">
        <v>44216.54</v>
      </c>
      <c r="I4" s="41">
        <f t="shared" si="1"/>
        <v>27243.709180529884</v>
      </c>
      <c r="J4" s="25">
        <f t="shared" ref="J4:J9" si="2">I4*$D$1</f>
        <v>178707.01742932841</v>
      </c>
      <c r="K4" s="38"/>
    </row>
    <row r="5" spans="1:11">
      <c r="A5" s="55">
        <v>1994</v>
      </c>
      <c r="B5" s="58">
        <f>'CNAV CORR SANS PLAFOND 1 BULL96'!F34</f>
        <v>65435.439530335068</v>
      </c>
      <c r="C5" s="56"/>
      <c r="D5" s="57">
        <v>1.595</v>
      </c>
      <c r="E5" s="58">
        <f t="shared" si="0"/>
        <v>104369.52605088444</v>
      </c>
      <c r="G5" s="41">
        <v>47704.38</v>
      </c>
      <c r="I5" s="41">
        <f t="shared" si="1"/>
        <v>29908.702194357367</v>
      </c>
      <c r="J5" s="25">
        <f t="shared" si="2"/>
        <v>196188.22565304075</v>
      </c>
    </row>
    <row r="6" spans="1:11">
      <c r="A6" s="55">
        <v>1995</v>
      </c>
      <c r="B6" s="58">
        <f>'CNA CORR SAN PLAFOND 2 BULL 96'!F44</f>
        <v>80665.672824590642</v>
      </c>
      <c r="C6" s="56"/>
      <c r="D6" s="57">
        <v>1.577</v>
      </c>
      <c r="E6" s="58">
        <f t="shared" si="0"/>
        <v>127209.76604437944</v>
      </c>
      <c r="G6" s="41">
        <v>140146.81</v>
      </c>
      <c r="I6" s="41">
        <f t="shared" si="1"/>
        <v>88869.251743817382</v>
      </c>
      <c r="J6" s="25">
        <f t="shared" si="2"/>
        <v>582944.07766119216</v>
      </c>
      <c r="K6">
        <v>448344.41</v>
      </c>
    </row>
    <row r="7" spans="1:11">
      <c r="A7" s="55">
        <v>1996</v>
      </c>
      <c r="B7" s="58">
        <f>'CNA CORR SAN PLAFOND 2 BULL 96'!F51</f>
        <v>30168.84872026672</v>
      </c>
      <c r="C7" s="56"/>
      <c r="D7" s="57">
        <v>1.538</v>
      </c>
      <c r="E7" s="58">
        <f t="shared" si="0"/>
        <v>46399.68933177022</v>
      </c>
      <c r="G7" s="41">
        <v>27014.51</v>
      </c>
      <c r="I7" s="41">
        <f t="shared" si="1"/>
        <v>17564.700910273081</v>
      </c>
      <c r="J7" s="25">
        <f t="shared" si="2"/>
        <v>115216.88514999999</v>
      </c>
      <c r="K7">
        <f>'CORRIGE+BULLEIN2 DE 1996'!C37</f>
        <v>70313</v>
      </c>
    </row>
    <row r="8" spans="1:11">
      <c r="A8" s="3">
        <v>1997</v>
      </c>
      <c r="B8" s="41">
        <f>45288/D1</f>
        <v>6904.1110926478414</v>
      </c>
      <c r="D8" s="35">
        <v>1.522</v>
      </c>
      <c r="E8" s="42">
        <f t="shared" si="0"/>
        <v>10508.057083010015</v>
      </c>
      <c r="F8" s="39"/>
      <c r="G8" s="42">
        <f>E8</f>
        <v>10508.057083010015</v>
      </c>
      <c r="I8" s="41">
        <f t="shared" si="1"/>
        <v>6904.1110926478414</v>
      </c>
      <c r="J8" s="25">
        <f t="shared" si="2"/>
        <v>45288</v>
      </c>
      <c r="K8">
        <f>'CORRIGE+BULLEIN2 DE 1996'!C42</f>
        <v>34700</v>
      </c>
    </row>
    <row r="9" spans="1:11">
      <c r="A9" s="3">
        <v>1999</v>
      </c>
      <c r="B9" s="41">
        <f>51987/D1</f>
        <v>7925.3670591212531</v>
      </c>
      <c r="D9" s="35">
        <v>1.4870000000000001</v>
      </c>
      <c r="E9" s="42">
        <f t="shared" si="0"/>
        <v>11785.020816913304</v>
      </c>
      <c r="F9" s="39"/>
      <c r="G9" s="42">
        <f t="shared" ref="G9:G26" si="3">E9</f>
        <v>11785.020816913304</v>
      </c>
      <c r="I9" s="41">
        <f t="shared" si="1"/>
        <v>7925.3670591212531</v>
      </c>
      <c r="J9" s="25">
        <f t="shared" si="2"/>
        <v>51987</v>
      </c>
      <c r="K9">
        <v>19356</v>
      </c>
    </row>
    <row r="10" spans="1:11">
      <c r="A10" s="3">
        <v>2002</v>
      </c>
      <c r="B10" s="41">
        <v>9208</v>
      </c>
      <c r="D10" s="35">
        <v>1.4179999999999999</v>
      </c>
      <c r="E10" s="42">
        <f t="shared" si="0"/>
        <v>13056.944</v>
      </c>
      <c r="F10" s="39"/>
      <c r="G10" s="42">
        <f t="shared" si="3"/>
        <v>13056.944</v>
      </c>
      <c r="I10" s="41">
        <f t="shared" si="1"/>
        <v>9208</v>
      </c>
      <c r="J10" s="25"/>
      <c r="K10">
        <f>SUM(K6:K9)</f>
        <v>572713.40999999992</v>
      </c>
    </row>
    <row r="11" spans="1:11">
      <c r="A11" s="3">
        <v>2003</v>
      </c>
      <c r="B11" s="41">
        <v>9031</v>
      </c>
      <c r="D11" s="35">
        <v>1.395</v>
      </c>
      <c r="E11" s="42">
        <f t="shared" si="0"/>
        <v>12598.245000000001</v>
      </c>
      <c r="F11" s="39"/>
      <c r="G11" s="42">
        <f t="shared" si="3"/>
        <v>12598.245000000001</v>
      </c>
      <c r="I11" s="41">
        <f t="shared" si="1"/>
        <v>9031</v>
      </c>
      <c r="J11" s="25"/>
      <c r="K11" s="34">
        <f>J6-K10</f>
        <v>10230.667661192245</v>
      </c>
    </row>
    <row r="12" spans="1:11">
      <c r="A12" s="3">
        <v>2004</v>
      </c>
      <c r="B12" s="41">
        <v>18000</v>
      </c>
      <c r="D12" s="35">
        <v>1.3740000000000001</v>
      </c>
      <c r="E12" s="42">
        <f t="shared" si="0"/>
        <v>24732.000000000004</v>
      </c>
      <c r="F12" s="39"/>
      <c r="G12" s="42">
        <f t="shared" si="3"/>
        <v>24732.000000000004</v>
      </c>
      <c r="I12" s="41">
        <f t="shared" si="1"/>
        <v>18000</v>
      </c>
      <c r="J12" s="25"/>
      <c r="K12" s="34"/>
    </row>
    <row r="13" spans="1:11">
      <c r="A13" s="3">
        <v>2005</v>
      </c>
      <c r="B13" s="41">
        <v>18000</v>
      </c>
      <c r="D13" s="35">
        <v>1.3480000000000001</v>
      </c>
      <c r="E13" s="42">
        <f t="shared" si="0"/>
        <v>24264</v>
      </c>
      <c r="F13" s="39"/>
      <c r="G13" s="42">
        <f t="shared" si="3"/>
        <v>24264</v>
      </c>
      <c r="I13" s="41">
        <f t="shared" si="1"/>
        <v>18000</v>
      </c>
      <c r="J13" s="25"/>
    </row>
    <row r="14" spans="1:11">
      <c r="A14" s="3">
        <v>2006</v>
      </c>
      <c r="B14" s="41">
        <v>22000</v>
      </c>
      <c r="D14" s="35">
        <v>1.3240000000000001</v>
      </c>
      <c r="E14" s="42">
        <f t="shared" si="0"/>
        <v>29128</v>
      </c>
      <c r="F14" s="39"/>
      <c r="G14" s="42">
        <f t="shared" si="3"/>
        <v>29128</v>
      </c>
      <c r="I14" s="41">
        <f t="shared" si="1"/>
        <v>22000</v>
      </c>
      <c r="J14" s="25"/>
    </row>
    <row r="15" spans="1:11">
      <c r="A15" s="3">
        <v>2007</v>
      </c>
      <c r="B15" s="41">
        <v>17288.52</v>
      </c>
      <c r="D15" s="35">
        <v>1.302</v>
      </c>
      <c r="E15" s="42">
        <f t="shared" si="0"/>
        <v>22509.653040000001</v>
      </c>
      <c r="F15" s="39"/>
      <c r="G15" s="42">
        <f t="shared" si="3"/>
        <v>22509.653040000001</v>
      </c>
      <c r="I15" s="41">
        <f t="shared" si="1"/>
        <v>17288.52</v>
      </c>
      <c r="J15" s="25"/>
    </row>
    <row r="16" spans="1:11">
      <c r="A16" s="3">
        <v>2008</v>
      </c>
      <c r="B16" s="41">
        <v>15057.53</v>
      </c>
      <c r="D16" s="35">
        <v>1.29</v>
      </c>
      <c r="E16" s="42">
        <f t="shared" si="0"/>
        <v>19424.2137</v>
      </c>
      <c r="F16" s="39"/>
      <c r="G16" s="42">
        <f t="shared" si="3"/>
        <v>19424.2137</v>
      </c>
      <c r="I16" s="41">
        <f t="shared" si="1"/>
        <v>15057.53</v>
      </c>
      <c r="J16" s="25"/>
    </row>
    <row r="17" spans="1:10">
      <c r="A17" s="3">
        <v>2010</v>
      </c>
      <c r="B17" s="41">
        <v>18000</v>
      </c>
      <c r="D17" s="35">
        <v>1.2669999999999999</v>
      </c>
      <c r="E17" s="42">
        <f t="shared" si="0"/>
        <v>22806</v>
      </c>
      <c r="F17" s="39"/>
      <c r="G17" s="42">
        <f t="shared" si="3"/>
        <v>22806</v>
      </c>
      <c r="I17" s="41">
        <f t="shared" si="1"/>
        <v>18000</v>
      </c>
      <c r="J17" s="25"/>
    </row>
    <row r="18" spans="1:10">
      <c r="A18" s="3">
        <v>2011</v>
      </c>
      <c r="B18" s="41">
        <v>10500</v>
      </c>
      <c r="D18" s="35">
        <v>1.256</v>
      </c>
      <c r="E18" s="42">
        <f t="shared" si="0"/>
        <v>13188</v>
      </c>
      <c r="F18" s="39"/>
      <c r="G18" s="42">
        <f t="shared" si="3"/>
        <v>13188</v>
      </c>
      <c r="I18" s="41">
        <f t="shared" si="1"/>
        <v>10500</v>
      </c>
      <c r="J18" s="25"/>
    </row>
    <row r="19" spans="1:10">
      <c r="A19" s="49">
        <v>2012</v>
      </c>
      <c r="B19" s="41">
        <v>27117.040000000001</v>
      </c>
      <c r="D19" s="50">
        <v>1.2310000000000001</v>
      </c>
      <c r="E19" s="42">
        <f t="shared" si="0"/>
        <v>33381.076240000002</v>
      </c>
      <c r="F19" s="39"/>
      <c r="G19" s="42">
        <f t="shared" si="3"/>
        <v>33381.076240000002</v>
      </c>
      <c r="I19" s="41">
        <f t="shared" si="1"/>
        <v>27117.040000000001</v>
      </c>
      <c r="J19" s="51"/>
    </row>
    <row r="20" spans="1:10">
      <c r="A20" s="20">
        <v>2013</v>
      </c>
      <c r="B20" s="23">
        <v>33600</v>
      </c>
      <c r="C20" s="20"/>
      <c r="D20" s="37">
        <v>1.2050000000000001</v>
      </c>
      <c r="E20" s="23">
        <f t="shared" si="0"/>
        <v>40488</v>
      </c>
      <c r="F20" s="20"/>
      <c r="G20" s="23">
        <v>39988.17</v>
      </c>
      <c r="H20" s="20"/>
      <c r="I20" s="23">
        <f t="shared" si="1"/>
        <v>33185.20331950207</v>
      </c>
      <c r="J20" s="26"/>
    </row>
    <row r="21" spans="1:10">
      <c r="A21" s="52">
        <v>2014</v>
      </c>
      <c r="B21" s="41">
        <v>36000</v>
      </c>
      <c r="D21" s="53">
        <v>1.1910000000000001</v>
      </c>
      <c r="E21" s="42">
        <f t="shared" si="0"/>
        <v>42876</v>
      </c>
      <c r="F21" s="39"/>
      <c r="G21" s="42">
        <f t="shared" si="3"/>
        <v>42876</v>
      </c>
      <c r="I21" s="41">
        <f t="shared" si="1"/>
        <v>36000</v>
      </c>
      <c r="J21" s="54"/>
    </row>
    <row r="22" spans="1:10">
      <c r="A22" s="3">
        <v>2015</v>
      </c>
      <c r="B22" s="41">
        <v>36000</v>
      </c>
      <c r="D22" s="35">
        <v>1.1910000000000001</v>
      </c>
      <c r="E22" s="42">
        <f t="shared" si="0"/>
        <v>42876</v>
      </c>
      <c r="F22" s="39"/>
      <c r="G22" s="42">
        <f t="shared" si="3"/>
        <v>42876</v>
      </c>
      <c r="I22" s="41">
        <f t="shared" si="1"/>
        <v>36000</v>
      </c>
      <c r="J22" s="25"/>
    </row>
    <row r="23" spans="1:10">
      <c r="A23" s="3">
        <v>2016</v>
      </c>
      <c r="B23" s="41">
        <v>36000</v>
      </c>
      <c r="D23" s="35">
        <v>1.19</v>
      </c>
      <c r="E23" s="42">
        <f t="shared" si="0"/>
        <v>42840</v>
      </c>
      <c r="F23" s="39"/>
      <c r="G23" s="42">
        <f t="shared" si="3"/>
        <v>42840</v>
      </c>
      <c r="I23" s="41">
        <f t="shared" si="1"/>
        <v>36000</v>
      </c>
      <c r="J23" s="25"/>
    </row>
    <row r="24" spans="1:10">
      <c r="A24" s="3">
        <v>2017</v>
      </c>
      <c r="B24" s="41">
        <v>36000</v>
      </c>
      <c r="D24" s="35">
        <v>1.19</v>
      </c>
      <c r="E24" s="42">
        <f t="shared" si="0"/>
        <v>42840</v>
      </c>
      <c r="F24" s="39"/>
      <c r="G24" s="42">
        <f t="shared" si="3"/>
        <v>42840</v>
      </c>
      <c r="I24" s="41">
        <f t="shared" si="1"/>
        <v>36000</v>
      </c>
      <c r="J24" s="25"/>
    </row>
    <row r="25" spans="1:10">
      <c r="A25" s="3">
        <v>2018</v>
      </c>
      <c r="B25" s="41">
        <v>36000</v>
      </c>
      <c r="D25" s="35">
        <v>1.181</v>
      </c>
      <c r="E25" s="42">
        <f t="shared" si="0"/>
        <v>42516</v>
      </c>
      <c r="F25" s="39"/>
      <c r="G25" s="42">
        <f t="shared" si="3"/>
        <v>42516</v>
      </c>
      <c r="I25" s="41">
        <f t="shared" si="1"/>
        <v>36000</v>
      </c>
      <c r="J25" s="25"/>
    </row>
    <row r="26" spans="1:10">
      <c r="A26" s="3">
        <v>2025</v>
      </c>
      <c r="B26" s="41">
        <v>22031</v>
      </c>
      <c r="D26" s="35">
        <v>1.0089999999999999</v>
      </c>
      <c r="E26" s="42">
        <f t="shared" si="0"/>
        <v>22229.278999999999</v>
      </c>
      <c r="F26" s="40"/>
      <c r="G26" s="42">
        <f t="shared" si="3"/>
        <v>22229.278999999999</v>
      </c>
      <c r="I26" s="41">
        <f t="shared" si="1"/>
        <v>22031</v>
      </c>
      <c r="J26" s="25"/>
    </row>
    <row r="27" spans="1:10">
      <c r="E27" s="41"/>
      <c r="G27" s="41"/>
    </row>
    <row r="28" spans="1:10">
      <c r="A28" s="8" t="s">
        <v>30</v>
      </c>
      <c r="B28" s="9"/>
      <c r="D28" s="11"/>
      <c r="E28" s="41">
        <f>SUM(E2:E26)</f>
        <v>1044168.6514800129</v>
      </c>
      <c r="G28" s="41">
        <f>SUM(G2:G27)</f>
        <v>837270.65887992328</v>
      </c>
    </row>
    <row r="29" spans="1:10">
      <c r="A29" s="8" t="s">
        <v>31</v>
      </c>
      <c r="B29" s="9"/>
      <c r="E29" s="41">
        <f>E28/25</f>
        <v>41766.746059200515</v>
      </c>
      <c r="G29" s="41">
        <f>G28/25</f>
        <v>33490.826355196928</v>
      </c>
    </row>
    <row r="30" spans="1:10">
      <c r="E30" s="41"/>
      <c r="G30" s="41"/>
    </row>
    <row r="31" spans="1:10" ht="15.5">
      <c r="A31" s="10" t="s">
        <v>32</v>
      </c>
      <c r="E31" s="41"/>
      <c r="G31" s="41"/>
    </row>
    <row r="32" spans="1:10">
      <c r="A32" t="s">
        <v>33</v>
      </c>
      <c r="B32" s="12"/>
      <c r="D32" s="12">
        <v>0.5</v>
      </c>
      <c r="E32" s="41">
        <f>E29*D32</f>
        <v>20883.373029600258</v>
      </c>
      <c r="G32" s="41">
        <f>G29*D32</f>
        <v>16745.413177598464</v>
      </c>
    </row>
    <row r="33" spans="1:7">
      <c r="A33" s="13" t="s">
        <v>34</v>
      </c>
      <c r="B33" s="14"/>
      <c r="D33" s="14"/>
      <c r="E33" s="41">
        <f>(E32/167)*121</f>
        <v>15131.066686117552</v>
      </c>
      <c r="G33" s="41">
        <f>(G32/167)*121</f>
        <v>12132.904158619247</v>
      </c>
    </row>
    <row r="34" spans="1:7" ht="15.5">
      <c r="A34" s="15" t="s">
        <v>35</v>
      </c>
      <c r="E34" s="43">
        <f>E33/12</f>
        <v>1260.9222238431294</v>
      </c>
      <c r="G34" s="41">
        <f>G33/12</f>
        <v>1011.075346551604</v>
      </c>
    </row>
  </sheetData>
  <mergeCells count="1">
    <mergeCell ref="I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Calcul Complet 1990-1996</vt:lpstr>
      <vt:lpstr>CNAV CORRIGE</vt:lpstr>
      <vt:lpstr>25 Meilleures Années</vt:lpstr>
      <vt:lpstr>CORRIGE+BULLEIN2 DE 1996</vt:lpstr>
      <vt:lpstr>25années avec Bulletin2 de 1996</vt:lpstr>
      <vt:lpstr>CNAV CORR SANS PLAFOND 1 BULL96</vt:lpstr>
      <vt:lpstr>25 ANNEEES SANS PALF 1 BULL 96</vt:lpstr>
      <vt:lpstr>CNA CORR SAN PLAFOND 2 BULL 96</vt:lpstr>
      <vt:lpstr>25 ANN SAN PLAF 2 BULL 96</vt:lpstr>
      <vt:lpstr>Feuil7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2026-09-28T15:55:41Z</cp:lastPrinted>
  <dcterms:created xsi:type="dcterms:W3CDTF">2026-09-28T00:15:01Z</dcterms:created>
  <dcterms:modified xsi:type="dcterms:W3CDTF">2026-10-05T16:14:29Z</dcterms:modified>
</cp:coreProperties>
</file>