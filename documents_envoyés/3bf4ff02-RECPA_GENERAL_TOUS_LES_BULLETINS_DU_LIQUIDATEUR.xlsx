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495" windowWidth="19440" windowHeight="711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I30" i="1"/>
  <c r="I27"/>
  <c r="I28"/>
  <c r="F15" l="1"/>
  <c r="E15"/>
  <c r="D15"/>
  <c r="F14"/>
  <c r="E14"/>
  <c r="D14"/>
  <c r="I31" l="1"/>
  <c r="J29"/>
  <c r="J13"/>
  <c r="J14"/>
  <c r="D23" l="1"/>
  <c r="E23"/>
  <c r="C23"/>
  <c r="H22"/>
  <c r="G23"/>
  <c r="J25"/>
  <c r="J17"/>
  <c r="D11"/>
  <c r="E11"/>
  <c r="F11"/>
  <c r="G11"/>
  <c r="H11"/>
  <c r="C11"/>
  <c r="D10"/>
  <c r="E10"/>
  <c r="F10"/>
  <c r="G10"/>
  <c r="H10"/>
  <c r="C10"/>
  <c r="G5"/>
  <c r="G7" s="1"/>
  <c r="F5"/>
  <c r="F6" s="1"/>
  <c r="J3"/>
  <c r="D22"/>
  <c r="D27" s="1"/>
  <c r="D30" s="1"/>
  <c r="E22"/>
  <c r="E27" s="1"/>
  <c r="E30" s="1"/>
  <c r="C22"/>
  <c r="C27" s="1"/>
  <c r="C30" s="1"/>
  <c r="J15" l="1"/>
  <c r="F22"/>
  <c r="F27" s="1"/>
  <c r="F30" s="1"/>
  <c r="J21"/>
  <c r="H23"/>
  <c r="H27" s="1"/>
  <c r="H30" s="1"/>
  <c r="F23"/>
  <c r="J10"/>
  <c r="G22"/>
  <c r="G27" s="1"/>
  <c r="G30" s="1"/>
  <c r="J11"/>
  <c r="G6"/>
  <c r="J6" s="1"/>
  <c r="F7"/>
  <c r="J5"/>
  <c r="J7" s="1"/>
  <c r="D28" l="1"/>
  <c r="D31" s="1"/>
  <c r="E28"/>
  <c r="E31" s="1"/>
  <c r="C31"/>
  <c r="C28"/>
  <c r="H28"/>
  <c r="H31" s="1"/>
  <c r="J23"/>
  <c r="J22"/>
  <c r="F28" l="1"/>
  <c r="F31" s="1"/>
  <c r="G31"/>
  <c r="G28"/>
  <c r="J27"/>
  <c r="J30" s="1"/>
  <c r="J28" l="1"/>
</calcChain>
</file>

<file path=xl/sharedStrings.xml><?xml version="1.0" encoding="utf-8"?>
<sst xmlns="http://schemas.openxmlformats.org/spreadsheetml/2006/main" count="43" uniqueCount="30">
  <si>
    <t>PRAA</t>
  </si>
  <si>
    <t>TOTAL</t>
  </si>
  <si>
    <t>congès payés PRAA</t>
  </si>
  <si>
    <t>jours mobiles</t>
  </si>
  <si>
    <t>Jours mobiles</t>
  </si>
  <si>
    <t>rappel de sal unilatéral 93/94</t>
  </si>
  <si>
    <t>Congés payés 93/94</t>
  </si>
  <si>
    <t>rappel mesnualisation</t>
  </si>
  <si>
    <t>congés payés mensualisation</t>
  </si>
  <si>
    <t>congés payés</t>
  </si>
  <si>
    <t>Préavis</t>
  </si>
  <si>
    <t>rappel 6 derniers mois</t>
  </si>
  <si>
    <t>rappel de salaire</t>
  </si>
  <si>
    <t>TOTAL EN FRANC PAR ANNEE</t>
  </si>
  <si>
    <t>rappel examens blanc</t>
  </si>
  <si>
    <t xml:space="preserve">TOTAUX PAR ANNEE EN EURO </t>
  </si>
  <si>
    <t>TOTAUX BRUT PAR ANNEE EN FRANC</t>
  </si>
  <si>
    <t>Tous les montants ont été soumis à la cotisation de vieillesse plafonnée</t>
  </si>
  <si>
    <t>1 BULLETIN DU LIQUIDATEUR DU 30/10/1998 :</t>
  </si>
  <si>
    <t>TOTAL EN EURO PAR ANNEE</t>
  </si>
  <si>
    <t>Total en Franc DES 2 BULLETINS DU LIQUIDATEUR DU 13/11/1996</t>
  </si>
  <si>
    <t>Anexe 1</t>
  </si>
  <si>
    <t>Annexe 2</t>
  </si>
  <si>
    <t>Annexe 3</t>
  </si>
  <si>
    <t>Annexe 4</t>
  </si>
  <si>
    <t>Annexe 5</t>
  </si>
  <si>
    <t>Annexe 6</t>
  </si>
  <si>
    <t>Annexe 7</t>
  </si>
  <si>
    <t>Annexes pièces 31  à 33</t>
  </si>
  <si>
    <t>Annexe 8</t>
  </si>
</sst>
</file>

<file path=xl/styles.xml><?xml version="1.0" encoding="utf-8"?>
<styleSheet xmlns="http://schemas.openxmlformats.org/spreadsheetml/2006/main">
  <numFmts count="1">
    <numFmt numFmtId="164" formatCode="#,##0.00\ &quot;€&quot;"/>
  </numFmts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/>
    <xf numFmtId="2" fontId="1" fillId="0" borderId="1" xfId="0" applyNumberFormat="1" applyFont="1" applyBorder="1"/>
    <xf numFmtId="2" fontId="2" fillId="0" borderId="0" xfId="0" applyNumberFormat="1" applyFont="1"/>
    <xf numFmtId="0" fontId="2" fillId="0" borderId="1" xfId="0" applyFont="1" applyBorder="1" applyAlignment="1">
      <alignment wrapText="1"/>
    </xf>
    <xf numFmtId="2" fontId="2" fillId="0" borderId="1" xfId="0" applyNumberFormat="1" applyFont="1" applyBorder="1"/>
    <xf numFmtId="1" fontId="1" fillId="0" borderId="1" xfId="0" applyNumberFormat="1" applyFont="1" applyBorder="1"/>
    <xf numFmtId="0" fontId="2" fillId="2" borderId="1" xfId="0" applyFont="1" applyFill="1" applyBorder="1"/>
    <xf numFmtId="1" fontId="1" fillId="2" borderId="1" xfId="0" applyNumberFormat="1" applyFont="1" applyFill="1" applyBorder="1"/>
    <xf numFmtId="0" fontId="3" fillId="0" borderId="0" xfId="0" applyFont="1"/>
    <xf numFmtId="2" fontId="0" fillId="0" borderId="1" xfId="0" applyNumberFormat="1" applyBorder="1"/>
    <xf numFmtId="2" fontId="1" fillId="3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164" fontId="1" fillId="0" borderId="1" xfId="0" applyNumberFormat="1" applyFont="1" applyBorder="1"/>
    <xf numFmtId="0" fontId="2" fillId="4" borderId="1" xfId="0" applyFont="1" applyFill="1" applyBorder="1" applyAlignment="1">
      <alignment wrapText="1"/>
    </xf>
    <xf numFmtId="2" fontId="2" fillId="4" borderId="1" xfId="0" applyNumberFormat="1" applyFont="1" applyFill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101"/>
  <sheetViews>
    <sheetView tabSelected="1" topLeftCell="A17" workbookViewId="0">
      <selection activeCell="C27" sqref="C27"/>
    </sheetView>
  </sheetViews>
  <sheetFormatPr baseColWidth="10" defaultRowHeight="12.75"/>
  <cols>
    <col min="1" max="1" width="11.42578125" style="1"/>
    <col min="2" max="2" width="19" style="1" customWidth="1"/>
    <col min="3" max="7" width="8.42578125" style="1" bestFit="1" customWidth="1"/>
    <col min="8" max="8" width="9.42578125" style="1" bestFit="1" customWidth="1"/>
    <col min="9" max="9" width="8.42578125" style="1" bestFit="1" customWidth="1"/>
    <col min="10" max="10" width="12" style="1" customWidth="1"/>
    <col min="11" max="11" width="14" style="1" customWidth="1"/>
    <col min="12" max="18" width="11.42578125" style="1"/>
    <col min="19" max="19" width="17.140625" style="1" bestFit="1" customWidth="1"/>
    <col min="20" max="21" width="14.85546875" style="1" bestFit="1" customWidth="1"/>
    <col min="22" max="16384" width="11.42578125" style="1"/>
  </cols>
  <sheetData>
    <row r="1" spans="2:12" ht="22.5" customHeight="1" thickTop="1" thickBot="1">
      <c r="B1" s="2">
        <v>6.5595699999999999</v>
      </c>
      <c r="C1" s="2">
        <v>1990</v>
      </c>
      <c r="D1" s="2">
        <v>1991</v>
      </c>
      <c r="E1" s="2">
        <v>1992</v>
      </c>
      <c r="F1" s="2">
        <v>1993</v>
      </c>
      <c r="G1" s="2">
        <v>1994</v>
      </c>
      <c r="H1" s="2">
        <v>1995</v>
      </c>
      <c r="I1" s="2">
        <v>1996</v>
      </c>
      <c r="J1" s="3" t="s">
        <v>1</v>
      </c>
      <c r="K1" s="13" t="s">
        <v>28</v>
      </c>
      <c r="L1" s="4"/>
    </row>
    <row r="2" spans="2:12" ht="42" customHeight="1" thickTop="1" thickBot="1">
      <c r="B2" s="12" t="s">
        <v>18</v>
      </c>
      <c r="C2" s="2"/>
      <c r="D2" s="2"/>
      <c r="E2" s="2"/>
      <c r="F2" s="2"/>
      <c r="G2" s="2"/>
      <c r="H2" s="2"/>
      <c r="I2" s="2"/>
      <c r="J2" s="3"/>
      <c r="K2" s="3"/>
      <c r="L2" s="4"/>
    </row>
    <row r="3" spans="2:12" ht="16.5" thickTop="1" thickBot="1">
      <c r="B3" s="5" t="s">
        <v>4</v>
      </c>
      <c r="C3" s="11">
        <v>635.4</v>
      </c>
      <c r="D3" s="11">
        <v>1824.4</v>
      </c>
      <c r="E3" s="6"/>
      <c r="F3" s="6"/>
      <c r="G3" s="6"/>
      <c r="H3" s="6"/>
      <c r="I3" s="6"/>
      <c r="J3" s="6">
        <f>SUM(C3:H3)</f>
        <v>2459.8000000000002</v>
      </c>
      <c r="K3" s="7" t="s">
        <v>21</v>
      </c>
      <c r="L3" s="4"/>
    </row>
    <row r="4" spans="2:12" ht="5.25" customHeight="1" thickTop="1" thickBot="1">
      <c r="B4" s="8"/>
      <c r="C4" s="8"/>
      <c r="D4" s="8"/>
      <c r="E4" s="8"/>
      <c r="F4" s="8"/>
      <c r="G4" s="8"/>
      <c r="H4" s="8"/>
      <c r="I4" s="8"/>
      <c r="J4" s="8"/>
      <c r="K4" s="8"/>
      <c r="L4" s="4"/>
    </row>
    <row r="5" spans="2:12" ht="25.5" customHeight="1" thickTop="1" thickBot="1">
      <c r="B5" s="5" t="s">
        <v>5</v>
      </c>
      <c r="C5" s="2">
        <v>0</v>
      </c>
      <c r="D5" s="2">
        <v>0</v>
      </c>
      <c r="E5" s="2">
        <v>0</v>
      </c>
      <c r="F5" s="2">
        <f>18900/2</f>
        <v>9450</v>
      </c>
      <c r="G5" s="2">
        <f>18900/2</f>
        <v>9450</v>
      </c>
      <c r="H5" s="2">
        <v>0</v>
      </c>
      <c r="I5" s="2"/>
      <c r="J5" s="3">
        <f>SUM(F5:H5)</f>
        <v>18900</v>
      </c>
      <c r="K5" s="7" t="s">
        <v>22</v>
      </c>
      <c r="L5" s="4"/>
    </row>
    <row r="6" spans="2:12" ht="14.25" thickTop="1" thickBot="1">
      <c r="B6" s="2" t="s">
        <v>6</v>
      </c>
      <c r="C6" s="2">
        <v>0</v>
      </c>
      <c r="D6" s="2">
        <v>0</v>
      </c>
      <c r="E6" s="2">
        <v>0</v>
      </c>
      <c r="F6" s="2">
        <f>F5*10%</f>
        <v>945</v>
      </c>
      <c r="G6" s="2">
        <f>G5*10%</f>
        <v>945</v>
      </c>
      <c r="H6" s="2">
        <v>0</v>
      </c>
      <c r="I6" s="2"/>
      <c r="J6" s="3">
        <f>SUM(F6:H6)</f>
        <v>1890</v>
      </c>
      <c r="K6" s="7" t="s">
        <v>22</v>
      </c>
      <c r="L6" s="4"/>
    </row>
    <row r="7" spans="2:12" ht="14.25" thickTop="1" thickBot="1">
      <c r="B7" s="2" t="s">
        <v>3</v>
      </c>
      <c r="C7" s="2">
        <v>0</v>
      </c>
      <c r="D7" s="2">
        <v>0</v>
      </c>
      <c r="E7" s="2">
        <v>0</v>
      </c>
      <c r="F7" s="2">
        <f>F5*2%</f>
        <v>189</v>
      </c>
      <c r="G7" s="2">
        <f>G5*2%</f>
        <v>189</v>
      </c>
      <c r="H7" s="2">
        <v>0</v>
      </c>
      <c r="I7" s="2"/>
      <c r="J7" s="2">
        <f>J5*2%</f>
        <v>378</v>
      </c>
      <c r="K7" s="7" t="s">
        <v>22</v>
      </c>
      <c r="L7" s="4"/>
    </row>
    <row r="8" spans="2:12" ht="3" customHeight="1" thickTop="1" thickBot="1">
      <c r="B8" s="8"/>
      <c r="C8" s="8"/>
      <c r="D8" s="8"/>
      <c r="E8" s="8"/>
      <c r="F8" s="8"/>
      <c r="G8" s="8"/>
      <c r="H8" s="8"/>
      <c r="I8" s="8"/>
      <c r="J8" s="8"/>
      <c r="K8" s="9" t="s">
        <v>22</v>
      </c>
      <c r="L8" s="4"/>
    </row>
    <row r="9" spans="2:12" ht="14.25" thickTop="1" thickBot="1">
      <c r="B9" s="2" t="s">
        <v>7</v>
      </c>
      <c r="C9" s="6">
        <v>3456.21</v>
      </c>
      <c r="D9" s="6">
        <v>13824.83</v>
      </c>
      <c r="E9" s="6">
        <v>13824.83</v>
      </c>
      <c r="F9" s="6">
        <v>13824.83</v>
      </c>
      <c r="G9" s="6">
        <v>13824.83</v>
      </c>
      <c r="H9" s="6">
        <v>8064.48</v>
      </c>
      <c r="I9" s="6"/>
      <c r="J9" s="6">
        <v>66820</v>
      </c>
      <c r="K9" s="7" t="s">
        <v>23</v>
      </c>
      <c r="L9" s="4"/>
    </row>
    <row r="10" spans="2:12" ht="14.25" thickTop="1" thickBot="1">
      <c r="B10" s="2" t="s">
        <v>8</v>
      </c>
      <c r="C10" s="6">
        <f>C9*10%</f>
        <v>345.62100000000004</v>
      </c>
      <c r="D10" s="6">
        <f t="shared" ref="D10:H10" si="0">D9*10%</f>
        <v>1382.4830000000002</v>
      </c>
      <c r="E10" s="6">
        <f t="shared" si="0"/>
        <v>1382.4830000000002</v>
      </c>
      <c r="F10" s="6">
        <f t="shared" si="0"/>
        <v>1382.4830000000002</v>
      </c>
      <c r="G10" s="6">
        <f t="shared" si="0"/>
        <v>1382.4830000000002</v>
      </c>
      <c r="H10" s="6">
        <f t="shared" si="0"/>
        <v>806.44799999999998</v>
      </c>
      <c r="I10" s="6"/>
      <c r="J10" s="6">
        <f>SUM(C10:H10)</f>
        <v>6682.0010000000011</v>
      </c>
      <c r="K10" s="7" t="s">
        <v>23</v>
      </c>
      <c r="L10" s="4"/>
    </row>
    <row r="11" spans="2:12" ht="14.25" thickTop="1" thickBot="1">
      <c r="B11" s="2" t="s">
        <v>3</v>
      </c>
      <c r="C11" s="6">
        <f>C9*2%</f>
        <v>69.124200000000002</v>
      </c>
      <c r="D11" s="6">
        <f t="shared" ref="D11:H11" si="1">D9*2%</f>
        <v>276.4966</v>
      </c>
      <c r="E11" s="6">
        <f t="shared" si="1"/>
        <v>276.4966</v>
      </c>
      <c r="F11" s="6">
        <f t="shared" si="1"/>
        <v>276.4966</v>
      </c>
      <c r="G11" s="6">
        <f t="shared" si="1"/>
        <v>276.4966</v>
      </c>
      <c r="H11" s="6">
        <f t="shared" si="1"/>
        <v>161.28960000000001</v>
      </c>
      <c r="I11" s="6"/>
      <c r="J11" s="6">
        <f>SUM(C11:H11)</f>
        <v>1336.4002</v>
      </c>
      <c r="K11" s="7" t="s">
        <v>23</v>
      </c>
      <c r="L11" s="4"/>
    </row>
    <row r="12" spans="2:12" ht="6" customHeight="1" thickTop="1" thickBot="1">
      <c r="B12" s="8"/>
      <c r="C12" s="8"/>
      <c r="D12" s="8"/>
      <c r="E12" s="8"/>
      <c r="F12" s="8"/>
      <c r="G12" s="8"/>
      <c r="H12" s="8"/>
      <c r="I12" s="8"/>
      <c r="J12" s="8"/>
      <c r="K12" s="9"/>
      <c r="L12" s="4"/>
    </row>
    <row r="13" spans="2:12" ht="16.5" thickTop="1" thickBot="1">
      <c r="B13" s="2" t="s">
        <v>14</v>
      </c>
      <c r="C13" s="6"/>
      <c r="D13" s="11">
        <v>2430</v>
      </c>
      <c r="E13" s="11">
        <v>2430</v>
      </c>
      <c r="F13" s="11">
        <v>2430</v>
      </c>
      <c r="G13" s="11"/>
      <c r="H13" s="11"/>
      <c r="I13" s="11"/>
      <c r="J13" s="6">
        <f>SUM(C13:H13)</f>
        <v>7290</v>
      </c>
      <c r="K13" s="7" t="s">
        <v>24</v>
      </c>
      <c r="L13" s="4"/>
    </row>
    <row r="14" spans="2:12" ht="16.5" thickTop="1" thickBot="1">
      <c r="B14" s="2" t="s">
        <v>9</v>
      </c>
      <c r="C14" s="6"/>
      <c r="D14" s="11">
        <f>D13*10%</f>
        <v>243</v>
      </c>
      <c r="E14" s="11">
        <f t="shared" ref="E14:F14" si="2">E13*10%</f>
        <v>243</v>
      </c>
      <c r="F14" s="11">
        <f t="shared" si="2"/>
        <v>243</v>
      </c>
      <c r="G14" s="11"/>
      <c r="H14" s="11"/>
      <c r="I14" s="11"/>
      <c r="J14" s="6">
        <f>SUM(C14:H14)</f>
        <v>729</v>
      </c>
      <c r="K14" s="7" t="s">
        <v>24</v>
      </c>
      <c r="L14" s="4"/>
    </row>
    <row r="15" spans="2:12" ht="16.5" thickTop="1" thickBot="1">
      <c r="B15" s="2" t="s">
        <v>3</v>
      </c>
      <c r="C15" s="6"/>
      <c r="D15" s="11">
        <f>D13*2%</f>
        <v>48.6</v>
      </c>
      <c r="E15" s="11">
        <f t="shared" ref="E15:F15" si="3">E13*2%</f>
        <v>48.6</v>
      </c>
      <c r="F15" s="11">
        <f t="shared" si="3"/>
        <v>48.6</v>
      </c>
      <c r="G15" s="11"/>
      <c r="H15" s="11"/>
      <c r="I15" s="11"/>
      <c r="J15" s="6">
        <f>SUM(C15:H16)</f>
        <v>145.80000000000001</v>
      </c>
      <c r="K15" s="7" t="s">
        <v>24</v>
      </c>
      <c r="L15" s="4"/>
    </row>
    <row r="16" spans="2:12" ht="3.75" customHeight="1" thickTop="1" thickBot="1">
      <c r="B16" s="8"/>
      <c r="C16" s="8">
        <v>0</v>
      </c>
      <c r="D16" s="8">
        <v>0</v>
      </c>
      <c r="E16" s="8"/>
      <c r="F16" s="8"/>
      <c r="G16" s="8"/>
      <c r="H16" s="8"/>
      <c r="I16" s="8"/>
      <c r="J16" s="8"/>
      <c r="K16" s="8"/>
      <c r="L16" s="4"/>
    </row>
    <row r="17" spans="2:12" ht="14.25" thickTop="1" thickBot="1">
      <c r="B17" s="2" t="s">
        <v>10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17690.400000000001</v>
      </c>
      <c r="I17" s="6"/>
      <c r="J17" s="6">
        <f>SUM(H17)</f>
        <v>17690.400000000001</v>
      </c>
      <c r="K17" s="7" t="s">
        <v>25</v>
      </c>
      <c r="L17" s="4"/>
    </row>
    <row r="18" spans="2:12" ht="3" customHeight="1" thickTop="1" thickBot="1">
      <c r="B18" s="8"/>
      <c r="C18" s="8"/>
      <c r="D18" s="8"/>
      <c r="E18" s="8"/>
      <c r="F18" s="8"/>
      <c r="G18" s="8"/>
      <c r="H18" s="8"/>
      <c r="I18" s="8"/>
      <c r="J18" s="8"/>
      <c r="K18" s="8" t="s">
        <v>26</v>
      </c>
      <c r="L18" s="4"/>
    </row>
    <row r="19" spans="2:12" ht="14.25" thickTop="1" thickBot="1">
      <c r="B19" s="2" t="s">
        <v>11</v>
      </c>
      <c r="C19" s="6"/>
      <c r="D19" s="6"/>
      <c r="E19" s="6"/>
      <c r="F19" s="6"/>
      <c r="G19" s="6"/>
      <c r="H19" s="6">
        <v>58352.93</v>
      </c>
      <c r="I19" s="6"/>
      <c r="J19" s="6">
        <v>58352.93</v>
      </c>
      <c r="K19" s="7" t="s">
        <v>26</v>
      </c>
      <c r="L19" s="4"/>
    </row>
    <row r="20" spans="2:12" ht="3.75" customHeight="1" thickTop="1" thickBot="1">
      <c r="B20" s="8"/>
      <c r="C20" s="8"/>
      <c r="D20" s="8"/>
      <c r="E20" s="8"/>
      <c r="F20" s="8"/>
      <c r="G20" s="8"/>
      <c r="H20" s="8"/>
      <c r="I20" s="8"/>
      <c r="J20" s="8"/>
      <c r="K20" s="8"/>
      <c r="L20" s="4"/>
    </row>
    <row r="21" spans="2:12" ht="14.25" thickTop="1" thickBot="1">
      <c r="B21" s="2" t="s">
        <v>0</v>
      </c>
      <c r="C21" s="6">
        <v>13647.64</v>
      </c>
      <c r="D21" s="6">
        <v>43645.71</v>
      </c>
      <c r="E21" s="6">
        <v>40452.86</v>
      </c>
      <c r="F21" s="6">
        <v>38751.43</v>
      </c>
      <c r="G21" s="6">
        <v>52244.53</v>
      </c>
      <c r="H21" s="6">
        <v>22138.29</v>
      </c>
      <c r="I21" s="6"/>
      <c r="J21" s="3">
        <f>SUM(C21:H21)</f>
        <v>210880.46</v>
      </c>
      <c r="K21" s="7" t="s">
        <v>27</v>
      </c>
    </row>
    <row r="22" spans="2:12" ht="14.25" thickTop="1" thickBot="1">
      <c r="B22" s="2" t="s">
        <v>2</v>
      </c>
      <c r="C22" s="6">
        <f>C21*10%</f>
        <v>1364.7640000000001</v>
      </c>
      <c r="D22" s="6">
        <f t="shared" ref="D22:H22" si="4">D21*10%</f>
        <v>4364.5709999999999</v>
      </c>
      <c r="E22" s="6">
        <f t="shared" si="4"/>
        <v>4045.2860000000001</v>
      </c>
      <c r="F22" s="6">
        <f t="shared" si="4"/>
        <v>3875.143</v>
      </c>
      <c r="G22" s="6">
        <f t="shared" si="4"/>
        <v>5224.4530000000004</v>
      </c>
      <c r="H22" s="6">
        <f t="shared" si="4"/>
        <v>2213.8290000000002</v>
      </c>
      <c r="I22" s="6"/>
      <c r="J22" s="3">
        <f>J21*10%</f>
        <v>21088.046000000002</v>
      </c>
      <c r="K22" s="7" t="s">
        <v>27</v>
      </c>
    </row>
    <row r="23" spans="2:12" ht="14.25" thickTop="1" thickBot="1">
      <c r="B23" s="2" t="s">
        <v>3</v>
      </c>
      <c r="C23" s="6">
        <f>C21*2%</f>
        <v>272.95279999999997</v>
      </c>
      <c r="D23" s="6">
        <f t="shared" ref="D23:H23" si="5">D21*2%</f>
        <v>872.91420000000005</v>
      </c>
      <c r="E23" s="6">
        <f t="shared" si="5"/>
        <v>809.05720000000008</v>
      </c>
      <c r="F23" s="6">
        <f t="shared" si="5"/>
        <v>775.02859999999998</v>
      </c>
      <c r="G23" s="6">
        <f t="shared" si="5"/>
        <v>1044.8905999999999</v>
      </c>
      <c r="H23" s="6">
        <f t="shared" si="5"/>
        <v>442.76580000000001</v>
      </c>
      <c r="I23" s="6"/>
      <c r="J23" s="3">
        <f>SUM(C23:H23)</f>
        <v>4217.6091999999999</v>
      </c>
      <c r="K23" s="7" t="s">
        <v>27</v>
      </c>
    </row>
    <row r="24" spans="2:12" ht="3.75" customHeight="1" thickTop="1" thickBot="1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2:12" ht="14.25" thickTop="1" thickBot="1">
      <c r="B25" s="2" t="s">
        <v>12</v>
      </c>
      <c r="C25" s="6"/>
      <c r="D25" s="6"/>
      <c r="E25" s="6"/>
      <c r="F25" s="6"/>
      <c r="G25" s="6"/>
      <c r="H25" s="6">
        <v>29484</v>
      </c>
      <c r="I25" s="6"/>
      <c r="J25" s="3">
        <f>SUM(H25)</f>
        <v>29484</v>
      </c>
      <c r="K25" s="7" t="s">
        <v>29</v>
      </c>
    </row>
    <row r="26" spans="2:12" ht="4.5" customHeight="1" thickTop="1" thickBot="1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2:12" ht="24.75" customHeight="1" thickTop="1" thickBot="1">
      <c r="B27" s="5" t="s">
        <v>13</v>
      </c>
      <c r="C27" s="6">
        <f>SUM(C3:C25)</f>
        <v>19791.711999999996</v>
      </c>
      <c r="D27" s="6">
        <f t="shared" ref="D27:I27" si="6">SUM(D3:D25)</f>
        <v>68913.004799999995</v>
      </c>
      <c r="E27" s="6">
        <f t="shared" si="6"/>
        <v>63512.612800000003</v>
      </c>
      <c r="F27" s="6">
        <f t="shared" si="6"/>
        <v>72191.011200000008</v>
      </c>
      <c r="G27" s="6">
        <f t="shared" si="6"/>
        <v>84581.683199999999</v>
      </c>
      <c r="H27" s="6">
        <f t="shared" si="6"/>
        <v>139354.43239999999</v>
      </c>
      <c r="I27" s="6">
        <f t="shared" si="6"/>
        <v>0</v>
      </c>
      <c r="J27" s="3">
        <f>SUM(J3:J25)</f>
        <v>448344.44639999996</v>
      </c>
      <c r="K27" s="7"/>
    </row>
    <row r="28" spans="2:12" ht="27" thickTop="1" thickBot="1">
      <c r="B28" s="5" t="s">
        <v>19</v>
      </c>
      <c r="C28" s="6">
        <f>C27/$B$1</f>
        <v>3017.2270438458613</v>
      </c>
      <c r="D28" s="6">
        <f t="shared" ref="D28:I28" si="7">D27/$B$1</f>
        <v>10505.719856636944</v>
      </c>
      <c r="E28" s="6">
        <f t="shared" si="7"/>
        <v>9682.435403540172</v>
      </c>
      <c r="F28" s="6">
        <f t="shared" si="7"/>
        <v>11005.448710814888</v>
      </c>
      <c r="G28" s="6">
        <f t="shared" si="7"/>
        <v>12894.394480125984</v>
      </c>
      <c r="H28" s="6">
        <f t="shared" si="7"/>
        <v>21244.446267057137</v>
      </c>
      <c r="I28" s="6">
        <f t="shared" si="7"/>
        <v>0</v>
      </c>
      <c r="J28" s="15">
        <f>SUM(C28:I28)</f>
        <v>68349.671762020997</v>
      </c>
      <c r="K28" s="7"/>
    </row>
    <row r="29" spans="2:12" ht="49.5" customHeight="1" thickTop="1" thickBot="1">
      <c r="B29" s="14" t="s">
        <v>20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41275.800000000003</v>
      </c>
      <c r="I29" s="6">
        <v>79414.8</v>
      </c>
      <c r="J29" s="3">
        <f>H29+I29</f>
        <v>120690.6</v>
      </c>
      <c r="K29" s="7"/>
      <c r="L29" s="4"/>
    </row>
    <row r="30" spans="2:12" ht="27" thickTop="1" thickBot="1">
      <c r="B30" s="5" t="s">
        <v>16</v>
      </c>
      <c r="C30" s="6">
        <f>C27+C29</f>
        <v>19791.711999999996</v>
      </c>
      <c r="D30" s="6">
        <f t="shared" ref="D30:I30" si="8">D27+D29</f>
        <v>68913.004799999995</v>
      </c>
      <c r="E30" s="6">
        <f t="shared" si="8"/>
        <v>63512.612800000003</v>
      </c>
      <c r="F30" s="6">
        <f t="shared" si="8"/>
        <v>72191.011200000008</v>
      </c>
      <c r="G30" s="6">
        <f t="shared" si="8"/>
        <v>84581.683199999999</v>
      </c>
      <c r="H30" s="6">
        <f t="shared" si="8"/>
        <v>180630.23239999998</v>
      </c>
      <c r="I30" s="6">
        <f t="shared" si="8"/>
        <v>79414.8</v>
      </c>
      <c r="J30" s="3">
        <f>J27+J29</f>
        <v>569035.04639999999</v>
      </c>
      <c r="K30" s="7"/>
    </row>
    <row r="31" spans="2:12" ht="27" thickTop="1" thickBot="1">
      <c r="B31" s="16" t="s">
        <v>15</v>
      </c>
      <c r="C31" s="17">
        <f>C30/$B$1</f>
        <v>3017.2270438458613</v>
      </c>
      <c r="D31" s="17">
        <f t="shared" ref="D31:I31" si="9">D30/$B$1</f>
        <v>10505.719856636944</v>
      </c>
      <c r="E31" s="17">
        <f t="shared" si="9"/>
        <v>9682.435403540172</v>
      </c>
      <c r="F31" s="17">
        <f t="shared" si="9"/>
        <v>11005.448710814888</v>
      </c>
      <c r="G31" s="17">
        <f t="shared" si="9"/>
        <v>12894.394480125984</v>
      </c>
      <c r="H31" s="17">
        <f t="shared" si="9"/>
        <v>27536.901412745039</v>
      </c>
      <c r="I31" s="17">
        <f t="shared" si="9"/>
        <v>12106.708214105498</v>
      </c>
      <c r="J31" s="18">
        <v>86748.83</v>
      </c>
      <c r="K31" s="7"/>
    </row>
    <row r="32" spans="2:12" ht="19.5" thickTop="1">
      <c r="B32" s="10" t="s">
        <v>17</v>
      </c>
      <c r="H32" s="4"/>
      <c r="I32" s="4"/>
      <c r="J32" s="4"/>
    </row>
    <row r="33" spans="10:10">
      <c r="J33" s="4"/>
    </row>
    <row r="91" ht="16.5" customHeight="1"/>
    <row r="97" spans="15:17">
      <c r="O97" s="4"/>
      <c r="P97" s="4"/>
    </row>
    <row r="98" spans="15:17">
      <c r="Q98" s="4"/>
    </row>
    <row r="101" spans="15:17">
      <c r="Q101" s="4"/>
    </row>
  </sheetData>
  <pageMargins left="0.70866141732283461" right="0.70866141732283461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cp:lastPrinted>2023-09-28T10:57:04Z</cp:lastPrinted>
  <dcterms:created xsi:type="dcterms:W3CDTF">2023-06-15T15:13:30Z</dcterms:created>
  <dcterms:modified xsi:type="dcterms:W3CDTF">2023-10-04T11:03:55Z</dcterms:modified>
</cp:coreProperties>
</file>