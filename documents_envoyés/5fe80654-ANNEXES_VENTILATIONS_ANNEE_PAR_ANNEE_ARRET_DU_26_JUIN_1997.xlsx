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100" windowWidth="18860" windowHeight="73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B46" i="1"/>
  <c r="I45" l="1"/>
  <c r="H82"/>
  <c r="H83" s="1"/>
  <c r="D81"/>
  <c r="H70"/>
  <c r="H71" s="1"/>
  <c r="I71" s="1"/>
  <c r="D69"/>
  <c r="H55"/>
  <c r="H56" s="1"/>
  <c r="D54"/>
  <c r="H46"/>
  <c r="G46"/>
  <c r="B44"/>
  <c r="B43"/>
  <c r="F44"/>
  <c r="E42"/>
  <c r="E43" s="1"/>
  <c r="D42"/>
  <c r="D43" s="1"/>
  <c r="D41"/>
  <c r="B39"/>
  <c r="E30"/>
  <c r="D30"/>
  <c r="C30"/>
  <c r="B30"/>
  <c r="G26"/>
  <c r="G27" s="1"/>
  <c r="F26"/>
  <c r="F28" s="1"/>
  <c r="D24"/>
  <c r="B22"/>
  <c r="H12"/>
  <c r="G12"/>
  <c r="F12"/>
  <c r="E12"/>
  <c r="D12"/>
  <c r="B12"/>
  <c r="I9"/>
  <c r="B6"/>
  <c r="F27" l="1"/>
  <c r="I27" s="1"/>
  <c r="F43"/>
  <c r="I70"/>
  <c r="I55"/>
  <c r="I56" s="1"/>
  <c r="F46"/>
  <c r="I12"/>
  <c r="F30"/>
  <c r="I30" s="1"/>
  <c r="I43"/>
  <c r="I26"/>
  <c r="G28"/>
  <c r="G30" s="1"/>
  <c r="I42"/>
  <c r="E44"/>
  <c r="E46" s="1"/>
  <c r="D44"/>
  <c r="D46" s="1"/>
  <c r="I28" l="1"/>
  <c r="I44"/>
  <c r="I46" s="1"/>
</calcChain>
</file>

<file path=xl/sharedStrings.xml><?xml version="1.0" encoding="utf-8"?>
<sst xmlns="http://schemas.openxmlformats.org/spreadsheetml/2006/main" count="98" uniqueCount="33">
  <si>
    <t xml:space="preserve">Montant </t>
  </si>
  <si>
    <t>Monnaie</t>
  </si>
  <si>
    <t>pages de l'arrêt</t>
  </si>
  <si>
    <t>Années concernées</t>
  </si>
  <si>
    <t>ligne du bulletin</t>
  </si>
  <si>
    <t>Brut</t>
  </si>
  <si>
    <t>franc</t>
  </si>
  <si>
    <t>2, 3</t>
  </si>
  <si>
    <t>1990 et 1991</t>
  </si>
  <si>
    <t>Totaux</t>
  </si>
  <si>
    <t>Total</t>
  </si>
  <si>
    <t>Jours mobiles</t>
  </si>
  <si>
    <t>TOTAUX</t>
  </si>
  <si>
    <t>3, 6 et 7</t>
  </si>
  <si>
    <t>1993 et 1994</t>
  </si>
  <si>
    <t>2,3 et 4</t>
  </si>
  <si>
    <t>Congés payés</t>
  </si>
  <si>
    <t>jours mobiles</t>
  </si>
  <si>
    <t>Répartition brut</t>
  </si>
  <si>
    <t>congés payés</t>
  </si>
  <si>
    <t>4 et 8</t>
  </si>
  <si>
    <t>Année concernée</t>
  </si>
  <si>
    <t>Répartition par année</t>
  </si>
  <si>
    <t>VENTILATIONS  PAR ANNEE "rappel de sal unilatéral93/94" LIGNES 2,3 et 4 DU BULLETIN DE SALAIRE MATERIALISANT L'ARRET DU 26 JUIN 1997</t>
  </si>
  <si>
    <t>VENTILATIONS PAR ANNEE DES "jours mobiles"  LIGNE 1 DU BULLETIN DE SALAIRE MATERIALISANT L'ARRET DU 26 JUIN 1997</t>
  </si>
  <si>
    <t>8,9 et 10</t>
  </si>
  <si>
    <t>VENTILATIONS  PAR ANNEE "rappel examens blancs" LIGNES 8,9 et 10 DU BULLETIN DE SALAIRE MATERIALISANT L'ARRET DU 26 JUIN 1997</t>
  </si>
  <si>
    <t>1991/1992/1993</t>
  </si>
  <si>
    <t>VENTILATIONS  PAR ANNEE "préavis" LIGNE 11 DU BULLETIN DE SALAIRE MATERIALISANT L'ARRET DU 26 JUIN 1997</t>
  </si>
  <si>
    <t>VENTILATIONS  PAR ANNEE "rappel 6 derniers mois" LIGNE 12 DU BULLETIN DE SALAIRE MATERIALISANT L'ARRET DU 26 JUIN 1997</t>
  </si>
  <si>
    <t>PAGE DES CONCLUSIONS</t>
  </si>
  <si>
    <t>15 et 16</t>
  </si>
  <si>
    <t>VENTILATIONS  PAR ANNEE "rappel de salAires" LIGNE 15 DU BULLETIN DE SALAIRE MATERIALISANT L'ARRET DU 26 JUIN 1997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</si>
</sst>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4" xfId="0" applyFont="1" applyBorder="1" applyAlignment="1">
      <alignment horizontal="center" wrapText="1"/>
    </xf>
    <xf numFmtId="2" fontId="2" fillId="0" borderId="4" xfId="0" applyNumberFormat="1" applyFont="1" applyBorder="1"/>
    <xf numFmtId="0" fontId="1" fillId="0" borderId="0" xfId="0" applyFont="1"/>
    <xf numFmtId="0" fontId="2" fillId="0" borderId="0" xfId="0" applyFont="1"/>
    <xf numFmtId="0" fontId="1" fillId="0" borderId="4" xfId="0" applyNumberFormat="1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2" fillId="0" borderId="4" xfId="0" applyFont="1" applyBorder="1"/>
    <xf numFmtId="49" fontId="2" fillId="0" borderId="4" xfId="0" applyNumberFormat="1" applyFont="1" applyBorder="1"/>
    <xf numFmtId="2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Border="1"/>
    <xf numFmtId="2" fontId="2" fillId="0" borderId="0" xfId="0" applyNumberFormat="1" applyFont="1" applyBorder="1"/>
    <xf numFmtId="2" fontId="2" fillId="0" borderId="0" xfId="0" applyNumberFormat="1" applyFont="1"/>
    <xf numFmtId="0" fontId="1" fillId="0" borderId="4" xfId="0" applyFont="1" applyBorder="1"/>
    <xf numFmtId="0" fontId="1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tabSelected="1" topLeftCell="A33" workbookViewId="0">
      <selection activeCell="B47" sqref="B47"/>
    </sheetView>
  </sheetViews>
  <sheetFormatPr baseColWidth="10" defaultRowHeight="13"/>
  <cols>
    <col min="1" max="1" width="17.7265625" style="4" bestFit="1" customWidth="1"/>
    <col min="2" max="3" width="7.6328125" style="4" bestFit="1" customWidth="1"/>
    <col min="4" max="4" width="7.54296875" style="4" bestFit="1" customWidth="1"/>
    <col min="5" max="5" width="10.6328125" style="4" bestFit="1" customWidth="1"/>
    <col min="6" max="6" width="7.6328125" style="4" bestFit="1" customWidth="1"/>
    <col min="7" max="7" width="11.7265625" style="4" bestFit="1" customWidth="1"/>
    <col min="8" max="8" width="8.08984375" style="4" bestFit="1" customWidth="1"/>
    <col min="9" max="9" width="7.6328125" style="4" bestFit="1" customWidth="1"/>
    <col min="10" max="16" width="10.90625" style="4"/>
    <col min="17" max="17" width="17.1796875" style="4" bestFit="1" customWidth="1"/>
    <col min="18" max="19" width="14.81640625" style="4" bestFit="1" customWidth="1"/>
    <col min="20" max="16384" width="10.90625" style="4"/>
  </cols>
  <sheetData>
    <row r="1" spans="1:14" ht="13.5" thickBot="1">
      <c r="A1" s="3"/>
    </row>
    <row r="2" spans="1:14" ht="26.5" customHeight="1" thickTop="1" thickBot="1">
      <c r="A2" s="15" t="s">
        <v>24</v>
      </c>
      <c r="B2" s="16"/>
      <c r="C2" s="16"/>
      <c r="D2" s="16"/>
      <c r="E2" s="16"/>
      <c r="F2" s="16"/>
      <c r="G2" s="17"/>
    </row>
    <row r="3" spans="1:14" ht="14" thickTop="1" thickBot="1"/>
    <row r="4" spans="1:14" ht="27" thickTop="1" thickBot="1">
      <c r="A4" s="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30</v>
      </c>
    </row>
    <row r="5" spans="1:14" ht="14" thickTop="1" thickBot="1">
      <c r="A5" s="1" t="s">
        <v>5</v>
      </c>
      <c r="B5" s="1">
        <v>2459.8000000000002</v>
      </c>
      <c r="C5" s="1" t="s">
        <v>6</v>
      </c>
      <c r="D5" s="1" t="s">
        <v>7</v>
      </c>
      <c r="E5" s="1" t="s">
        <v>8</v>
      </c>
      <c r="F5" s="5">
        <v>1</v>
      </c>
      <c r="G5" s="5">
        <v>15</v>
      </c>
    </row>
    <row r="6" spans="1:14" ht="14" thickTop="1" thickBot="1">
      <c r="A6" s="1" t="s">
        <v>9</v>
      </c>
      <c r="B6" s="1">
        <f>SUM(B5:B5)</f>
        <v>2459.8000000000002</v>
      </c>
      <c r="C6" s="1" t="s">
        <v>6</v>
      </c>
      <c r="D6" s="1"/>
      <c r="E6" s="1"/>
      <c r="F6" s="1"/>
      <c r="G6" s="1"/>
    </row>
    <row r="7" spans="1:14" ht="14" thickTop="1" thickBot="1">
      <c r="A7" s="6"/>
      <c r="B7" s="6"/>
      <c r="C7" s="6"/>
      <c r="D7" s="6"/>
      <c r="E7" s="6"/>
      <c r="F7" s="6"/>
    </row>
    <row r="8" spans="1:14" ht="14" thickTop="1" thickBot="1">
      <c r="A8" s="7"/>
      <c r="B8" s="7">
        <v>1990</v>
      </c>
      <c r="C8" s="7"/>
      <c r="D8" s="7">
        <v>1991</v>
      </c>
      <c r="E8" s="7">
        <v>1992</v>
      </c>
      <c r="F8" s="7">
        <v>1993</v>
      </c>
      <c r="G8" s="7">
        <v>1994</v>
      </c>
      <c r="H8" s="7">
        <v>1995</v>
      </c>
      <c r="I8" s="2" t="s">
        <v>10</v>
      </c>
    </row>
    <row r="9" spans="1:14" ht="14" thickTop="1" thickBot="1">
      <c r="A9" s="7" t="s">
        <v>11</v>
      </c>
      <c r="B9" s="2">
        <v>635.4</v>
      </c>
      <c r="C9" s="2"/>
      <c r="D9" s="2">
        <v>1824.4</v>
      </c>
      <c r="E9" s="2"/>
      <c r="F9" s="2"/>
      <c r="G9" s="2"/>
      <c r="H9" s="2"/>
      <c r="I9" s="2">
        <f>SUM(B9:H9)</f>
        <v>2459.8000000000002</v>
      </c>
    </row>
    <row r="10" spans="1:14" ht="14" thickTop="1" thickBot="1">
      <c r="B10" s="8"/>
      <c r="C10" s="8"/>
      <c r="D10" s="8"/>
      <c r="E10" s="8"/>
      <c r="F10" s="8"/>
      <c r="G10" s="8"/>
      <c r="H10" s="8"/>
      <c r="I10" s="8"/>
    </row>
    <row r="11" spans="1:14" ht="14" thickTop="1" thickBot="1">
      <c r="A11" s="7"/>
      <c r="B11" s="2"/>
      <c r="C11" s="2"/>
      <c r="D11" s="2"/>
      <c r="E11" s="2"/>
      <c r="F11" s="7"/>
      <c r="G11" s="7"/>
      <c r="H11" s="2"/>
      <c r="I11" s="7"/>
      <c r="J11" s="9"/>
      <c r="K11" s="10"/>
      <c r="L11" s="10"/>
      <c r="M11" s="10"/>
      <c r="N11" s="10"/>
    </row>
    <row r="12" spans="1:14" ht="14" thickTop="1" thickBot="1">
      <c r="A12" s="7" t="s">
        <v>12</v>
      </c>
      <c r="B12" s="2">
        <f>SUM(B9:B11)</f>
        <v>635.4</v>
      </c>
      <c r="C12" s="2"/>
      <c r="D12" s="2">
        <f>SUM(D9:D11)</f>
        <v>1824.4</v>
      </c>
      <c r="E12" s="2">
        <f>SUM(E9:E11)</f>
        <v>0</v>
      </c>
      <c r="F12" s="2">
        <f>SUM(F9:F11)</f>
        <v>0</v>
      </c>
      <c r="G12" s="2">
        <f>SUM(G9:G11)</f>
        <v>0</v>
      </c>
      <c r="H12" s="2">
        <f>SUM(H9:H11)</f>
        <v>0</v>
      </c>
      <c r="I12" s="2">
        <f>SUM(B12:H12)</f>
        <v>2459.8000000000002</v>
      </c>
      <c r="J12" s="9"/>
      <c r="K12" s="10"/>
      <c r="L12" s="10"/>
      <c r="M12" s="10"/>
      <c r="N12" s="10"/>
    </row>
    <row r="13" spans="1:14" ht="13.5" thickTop="1">
      <c r="A13" s="11"/>
      <c r="B13" s="12"/>
      <c r="C13" s="12"/>
      <c r="D13" s="12"/>
      <c r="E13" s="12"/>
      <c r="F13" s="12"/>
      <c r="G13" s="12"/>
      <c r="H13" s="12"/>
      <c r="I13" s="11"/>
      <c r="J13" s="9"/>
      <c r="K13" s="10"/>
      <c r="L13" s="10"/>
      <c r="M13" s="10"/>
      <c r="N13" s="10"/>
    </row>
    <row r="14" spans="1:14" s="10" customFormat="1" ht="13.5" thickBot="1"/>
    <row r="15" spans="1:14" s="10" customFormat="1" ht="26.5" customHeight="1" thickTop="1" thickBot="1">
      <c r="A15" s="15" t="s">
        <v>23</v>
      </c>
      <c r="B15" s="16"/>
      <c r="C15" s="16"/>
      <c r="D15" s="16"/>
      <c r="E15" s="16"/>
      <c r="F15" s="16"/>
      <c r="G15" s="17"/>
    </row>
    <row r="16" spans="1:14" s="10" customFormat="1" ht="14" thickTop="1" thickBot="1"/>
    <row r="17" spans="1:14" ht="14" thickTop="1" thickBot="1">
      <c r="A17" s="7"/>
      <c r="B17" s="2"/>
      <c r="C17" s="2"/>
      <c r="D17" s="2"/>
      <c r="E17" s="2"/>
      <c r="F17" s="2"/>
      <c r="G17" s="1"/>
      <c r="H17" s="12"/>
      <c r="I17" s="11"/>
      <c r="J17" s="9"/>
      <c r="K17" s="10"/>
      <c r="L17" s="10"/>
      <c r="M17" s="10"/>
      <c r="N17" s="10"/>
    </row>
    <row r="18" spans="1:14" ht="27" thickTop="1" thickBot="1">
      <c r="A18" s="1"/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30</v>
      </c>
      <c r="H18" s="6"/>
      <c r="I18" s="9"/>
      <c r="J18" s="10"/>
      <c r="K18" s="10"/>
      <c r="L18" s="10"/>
      <c r="M18" s="10"/>
    </row>
    <row r="19" spans="1:14" ht="14" thickTop="1" thickBot="1">
      <c r="A19" s="1" t="s">
        <v>5</v>
      </c>
      <c r="B19" s="1">
        <v>18900</v>
      </c>
      <c r="C19" s="1" t="s">
        <v>6</v>
      </c>
      <c r="D19" s="1" t="s">
        <v>13</v>
      </c>
      <c r="E19" s="1" t="s">
        <v>14</v>
      </c>
      <c r="F19" s="5" t="s">
        <v>15</v>
      </c>
      <c r="G19" s="5" t="s">
        <v>31</v>
      </c>
      <c r="H19" s="6"/>
      <c r="I19" s="9"/>
      <c r="J19" s="10"/>
      <c r="K19" s="10"/>
      <c r="L19" s="10"/>
      <c r="M19" s="10"/>
    </row>
    <row r="20" spans="1:14" ht="14" thickTop="1" thickBot="1">
      <c r="A20" s="1" t="s">
        <v>16</v>
      </c>
      <c r="B20" s="1">
        <v>1890</v>
      </c>
      <c r="C20" s="1" t="s">
        <v>6</v>
      </c>
      <c r="D20" s="1"/>
      <c r="E20" s="1"/>
      <c r="F20" s="1"/>
      <c r="G20" s="6"/>
      <c r="H20" s="6"/>
      <c r="I20" s="9"/>
      <c r="J20" s="10"/>
      <c r="K20" s="10"/>
      <c r="L20" s="10"/>
      <c r="M20" s="10"/>
    </row>
    <row r="21" spans="1:14" ht="14" thickTop="1" thickBot="1">
      <c r="A21" s="1" t="s">
        <v>17</v>
      </c>
      <c r="B21" s="1">
        <v>378</v>
      </c>
      <c r="C21" s="1" t="s">
        <v>6</v>
      </c>
      <c r="D21" s="1"/>
      <c r="E21" s="1"/>
      <c r="F21" s="1"/>
      <c r="G21" s="6"/>
      <c r="H21" s="6"/>
      <c r="I21" s="9"/>
      <c r="J21" s="10"/>
      <c r="K21" s="10"/>
      <c r="L21" s="10"/>
      <c r="M21" s="10"/>
    </row>
    <row r="22" spans="1:14" ht="14" thickTop="1" thickBot="1">
      <c r="A22" s="1" t="s">
        <v>9</v>
      </c>
      <c r="B22" s="1">
        <f>SUM(B19:B21)</f>
        <v>21168</v>
      </c>
      <c r="C22" s="1" t="s">
        <v>6</v>
      </c>
      <c r="D22" s="1"/>
      <c r="E22" s="1"/>
      <c r="F22" s="1"/>
      <c r="G22" s="6"/>
      <c r="H22" s="6"/>
      <c r="I22" s="6"/>
      <c r="J22" s="9"/>
      <c r="K22" s="10"/>
      <c r="L22" s="10"/>
      <c r="M22" s="10"/>
      <c r="N22" s="10"/>
    </row>
    <row r="23" spans="1:14" ht="14" thickTop="1" thickBot="1">
      <c r="J23" s="9"/>
      <c r="K23" s="10"/>
      <c r="L23" s="10"/>
      <c r="M23" s="10"/>
      <c r="N23" s="10"/>
    </row>
    <row r="24" spans="1:14" ht="14" thickTop="1" thickBot="1">
      <c r="A24" s="7"/>
      <c r="B24" s="7">
        <v>1990</v>
      </c>
      <c r="C24" s="7"/>
      <c r="D24" s="7">
        <f>B24+1</f>
        <v>1991</v>
      </c>
      <c r="E24" s="7">
        <v>1992</v>
      </c>
      <c r="F24" s="7">
        <v>1993</v>
      </c>
      <c r="G24" s="7">
        <v>1994</v>
      </c>
      <c r="H24" s="7">
        <v>1995</v>
      </c>
      <c r="I24" s="2" t="s">
        <v>10</v>
      </c>
      <c r="J24" s="9"/>
      <c r="K24" s="10"/>
      <c r="L24" s="10"/>
      <c r="M24" s="10"/>
      <c r="N24" s="10"/>
    </row>
    <row r="25" spans="1:14" ht="14" thickTop="1" thickBot="1">
      <c r="A25" s="7"/>
      <c r="B25" s="2"/>
      <c r="C25" s="2"/>
      <c r="D25" s="2"/>
      <c r="E25" s="2"/>
      <c r="F25" s="2"/>
      <c r="G25" s="2"/>
      <c r="H25" s="2"/>
      <c r="I25" s="2"/>
      <c r="J25" s="9"/>
      <c r="K25" s="9"/>
      <c r="L25" s="9"/>
      <c r="M25" s="9"/>
      <c r="N25" s="9"/>
    </row>
    <row r="26" spans="1:14" ht="14" thickTop="1" thickBot="1">
      <c r="A26" s="7" t="s">
        <v>18</v>
      </c>
      <c r="B26" s="7"/>
      <c r="C26" s="7"/>
      <c r="D26" s="7"/>
      <c r="E26" s="7"/>
      <c r="F26" s="7">
        <f>B19/2</f>
        <v>9450</v>
      </c>
      <c r="G26" s="7">
        <f>B19/2</f>
        <v>9450</v>
      </c>
      <c r="H26" s="7"/>
      <c r="I26" s="2">
        <f>SUM(F26:H26)</f>
        <v>18900</v>
      </c>
      <c r="J26" s="9"/>
    </row>
    <row r="27" spans="1:14" ht="14" thickTop="1" thickBot="1">
      <c r="A27" s="7" t="s">
        <v>19</v>
      </c>
      <c r="B27" s="7"/>
      <c r="C27" s="7"/>
      <c r="D27" s="7"/>
      <c r="E27" s="7"/>
      <c r="F27" s="7">
        <f>F26*10%</f>
        <v>945</v>
      </c>
      <c r="G27" s="7">
        <f>G26*10%</f>
        <v>945</v>
      </c>
      <c r="H27" s="1"/>
      <c r="I27" s="2">
        <f t="shared" ref="I27:I30" si="0">SUM(F27:H27)</f>
        <v>1890</v>
      </c>
      <c r="J27" s="9"/>
    </row>
    <row r="28" spans="1:14" ht="14" thickTop="1" thickBot="1">
      <c r="A28" s="7" t="s">
        <v>17</v>
      </c>
      <c r="B28" s="7"/>
      <c r="C28" s="7"/>
      <c r="D28" s="7"/>
      <c r="E28" s="7"/>
      <c r="F28" s="7">
        <f>F26*2%</f>
        <v>189</v>
      </c>
      <c r="G28" s="7">
        <f>G26*2%</f>
        <v>189</v>
      </c>
      <c r="H28" s="5"/>
      <c r="I28" s="2">
        <f t="shared" si="0"/>
        <v>378</v>
      </c>
      <c r="J28" s="9"/>
    </row>
    <row r="29" spans="1:14" ht="14" thickTop="1" thickBot="1">
      <c r="A29" s="7"/>
      <c r="B29" s="2"/>
      <c r="C29" s="2"/>
      <c r="D29" s="2"/>
      <c r="E29" s="2"/>
      <c r="F29" s="7"/>
      <c r="G29" s="7"/>
      <c r="H29" s="2"/>
      <c r="I29" s="2"/>
      <c r="J29" s="9"/>
      <c r="K29" s="10"/>
      <c r="L29" s="10"/>
      <c r="M29" s="10"/>
      <c r="N29" s="10"/>
    </row>
    <row r="30" spans="1:14" ht="14" thickTop="1" thickBot="1">
      <c r="A30" s="7" t="s">
        <v>12</v>
      </c>
      <c r="B30" s="2">
        <f>SUM(B29)</f>
        <v>0</v>
      </c>
      <c r="C30" s="2">
        <f t="shared" ref="C30:E30" si="1">SUM(C29)</f>
        <v>0</v>
      </c>
      <c r="D30" s="2">
        <f t="shared" si="1"/>
        <v>0</v>
      </c>
      <c r="E30" s="2">
        <f t="shared" si="1"/>
        <v>0</v>
      </c>
      <c r="F30" s="2">
        <f>SUM(F26:F29)</f>
        <v>10584</v>
      </c>
      <c r="G30" s="2">
        <f>SUM(G26:G29)</f>
        <v>10584</v>
      </c>
      <c r="H30" s="2"/>
      <c r="I30" s="2">
        <f t="shared" si="0"/>
        <v>21168</v>
      </c>
      <c r="J30" s="9"/>
      <c r="K30" s="10"/>
      <c r="L30" s="10"/>
      <c r="M30" s="10"/>
      <c r="N30" s="10"/>
    </row>
    <row r="31" spans="1:14" ht="13.5" thickTop="1">
      <c r="F31" s="13"/>
      <c r="J31" s="9"/>
      <c r="K31" s="10"/>
      <c r="L31" s="10"/>
      <c r="M31" s="10"/>
      <c r="N31" s="10"/>
    </row>
    <row r="32" spans="1:14" ht="13.5" thickBot="1">
      <c r="A32" s="3"/>
      <c r="F32" s="13"/>
      <c r="J32" s="9"/>
      <c r="K32" s="10"/>
      <c r="L32" s="10"/>
      <c r="M32" s="10"/>
      <c r="N32" s="10"/>
    </row>
    <row r="33" spans="1:14" ht="27" customHeight="1" thickTop="1" thickBot="1">
      <c r="A33" s="15" t="s">
        <v>26</v>
      </c>
      <c r="B33" s="16"/>
      <c r="C33" s="16"/>
      <c r="D33" s="16"/>
      <c r="E33" s="16"/>
      <c r="F33" s="16"/>
      <c r="G33" s="17"/>
      <c r="J33" s="9"/>
      <c r="K33" s="10"/>
      <c r="L33" s="10"/>
      <c r="M33" s="10"/>
      <c r="N33" s="10"/>
    </row>
    <row r="34" spans="1:14" ht="14" thickTop="1" thickBot="1">
      <c r="F34" s="13"/>
      <c r="J34" s="9"/>
      <c r="K34" s="10"/>
      <c r="L34" s="10"/>
      <c r="M34" s="10"/>
      <c r="N34" s="10"/>
    </row>
    <row r="35" spans="1:14" ht="27" thickTop="1" thickBot="1">
      <c r="A35" s="1"/>
      <c r="B35" s="1" t="s">
        <v>0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30</v>
      </c>
      <c r="J35" s="9"/>
      <c r="K35" s="10"/>
      <c r="L35" s="10"/>
      <c r="M35" s="10"/>
      <c r="N35" s="10"/>
    </row>
    <row r="36" spans="1:14" ht="27" thickTop="1" thickBot="1">
      <c r="A36" s="1" t="s">
        <v>5</v>
      </c>
      <c r="B36" s="1">
        <v>7290</v>
      </c>
      <c r="C36" s="1" t="s">
        <v>6</v>
      </c>
      <c r="D36" s="1" t="s">
        <v>20</v>
      </c>
      <c r="E36" s="1" t="s">
        <v>27</v>
      </c>
      <c r="F36" s="5" t="s">
        <v>25</v>
      </c>
      <c r="G36" s="5">
        <v>16</v>
      </c>
      <c r="J36" s="9"/>
      <c r="K36" s="10"/>
      <c r="L36" s="10"/>
      <c r="M36" s="10"/>
      <c r="N36" s="10"/>
    </row>
    <row r="37" spans="1:14" ht="14" thickTop="1" thickBot="1">
      <c r="A37" s="1" t="s">
        <v>16</v>
      </c>
      <c r="B37" s="1">
        <v>729</v>
      </c>
      <c r="C37" s="1" t="s">
        <v>6</v>
      </c>
      <c r="D37" s="1"/>
      <c r="E37" s="1"/>
      <c r="F37" s="1"/>
      <c r="H37" s="13"/>
      <c r="J37" s="9"/>
      <c r="K37" s="10"/>
      <c r="L37" s="10"/>
      <c r="M37" s="10"/>
      <c r="N37" s="10"/>
    </row>
    <row r="38" spans="1:14" ht="14" thickTop="1" thickBot="1">
      <c r="A38" s="1" t="s">
        <v>17</v>
      </c>
      <c r="B38" s="1">
        <v>145.80000000000001</v>
      </c>
      <c r="C38" s="1" t="s">
        <v>6</v>
      </c>
      <c r="D38" s="1"/>
      <c r="E38" s="1"/>
      <c r="F38" s="1"/>
      <c r="J38" s="9"/>
      <c r="K38" s="10"/>
      <c r="L38" s="10"/>
      <c r="M38" s="10"/>
      <c r="N38" s="10"/>
    </row>
    <row r="39" spans="1:14" ht="14" thickTop="1" thickBot="1">
      <c r="A39" s="1" t="s">
        <v>9</v>
      </c>
      <c r="B39" s="1">
        <f>SUM(B36:B38)</f>
        <v>8164.8</v>
      </c>
      <c r="C39" s="1" t="s">
        <v>6</v>
      </c>
      <c r="D39" s="1"/>
      <c r="E39" s="1"/>
      <c r="F39" s="1"/>
      <c r="H39" s="13"/>
      <c r="J39" s="9"/>
      <c r="K39" s="10"/>
      <c r="L39" s="10"/>
      <c r="M39" s="10"/>
      <c r="N39" s="10"/>
    </row>
    <row r="40" spans="1:14" ht="14" thickTop="1" thickBot="1">
      <c r="J40" s="9"/>
      <c r="K40" s="10"/>
      <c r="L40" s="10"/>
      <c r="M40" s="10"/>
      <c r="N40" s="10"/>
    </row>
    <row r="41" spans="1:14" ht="14" thickTop="1" thickBot="1">
      <c r="A41" s="7"/>
      <c r="B41" s="7">
        <v>1990</v>
      </c>
      <c r="C41" s="7"/>
      <c r="D41" s="7">
        <f>B41+1</f>
        <v>1991</v>
      </c>
      <c r="E41" s="7">
        <v>1992</v>
      </c>
      <c r="F41" s="7">
        <v>1993</v>
      </c>
      <c r="G41" s="7">
        <v>1994</v>
      </c>
      <c r="H41" s="7">
        <v>1995</v>
      </c>
      <c r="I41" s="2" t="s">
        <v>10</v>
      </c>
      <c r="J41" s="9"/>
      <c r="K41" s="10"/>
      <c r="L41" s="10"/>
      <c r="M41" s="10"/>
      <c r="N41" s="10"/>
    </row>
    <row r="42" spans="1:14" ht="14" thickTop="1" thickBot="1">
      <c r="A42" s="7" t="s">
        <v>5</v>
      </c>
      <c r="B42" s="7">
        <v>2430</v>
      </c>
      <c r="C42" s="7"/>
      <c r="D42" s="7">
        <f>B36/3</f>
        <v>2430</v>
      </c>
      <c r="E42" s="7">
        <f>B36/3</f>
        <v>2430</v>
      </c>
      <c r="F42" s="14">
        <v>0</v>
      </c>
      <c r="G42" s="7">
        <v>0</v>
      </c>
      <c r="H42" s="7">
        <v>0</v>
      </c>
      <c r="I42" s="2">
        <f>SUM(B42:H42)</f>
        <v>7290</v>
      </c>
      <c r="J42" s="9"/>
    </row>
    <row r="43" spans="1:14" ht="14" thickTop="1" thickBot="1">
      <c r="A43" s="7" t="s">
        <v>19</v>
      </c>
      <c r="B43" s="7">
        <f>B42*10%</f>
        <v>243</v>
      </c>
      <c r="C43" s="7"/>
      <c r="D43" s="7">
        <f t="shared" ref="D43:F43" si="2">D42*10%</f>
        <v>243</v>
      </c>
      <c r="E43" s="7">
        <f t="shared" si="2"/>
        <v>243</v>
      </c>
      <c r="F43" s="7">
        <f t="shared" si="2"/>
        <v>0</v>
      </c>
      <c r="G43" s="7">
        <v>0</v>
      </c>
      <c r="H43" s="7">
        <v>0</v>
      </c>
      <c r="I43" s="2">
        <f>SUM(B43:H43)</f>
        <v>729</v>
      </c>
      <c r="J43" s="9"/>
    </row>
    <row r="44" spans="1:14" ht="14" thickTop="1" thickBot="1">
      <c r="A44" s="7" t="s">
        <v>17</v>
      </c>
      <c r="B44" s="7">
        <f>B42*2%</f>
        <v>48.6</v>
      </c>
      <c r="C44" s="7"/>
      <c r="D44" s="7">
        <f t="shared" ref="D44:F44" si="3">D42*2%</f>
        <v>48.6</v>
      </c>
      <c r="E44" s="7">
        <f t="shared" si="3"/>
        <v>48.6</v>
      </c>
      <c r="F44" s="7">
        <f t="shared" si="3"/>
        <v>0</v>
      </c>
      <c r="G44" s="7">
        <v>0</v>
      </c>
      <c r="H44" s="7">
        <v>0</v>
      </c>
      <c r="I44" s="2">
        <f>SUM(B44:H44)</f>
        <v>145.80000000000001</v>
      </c>
      <c r="J44" s="9"/>
    </row>
    <row r="45" spans="1:14" ht="14" thickTop="1" thickBot="1">
      <c r="A45" s="7"/>
      <c r="B45" s="2"/>
      <c r="C45" s="2"/>
      <c r="D45" s="2"/>
      <c r="E45" s="2"/>
      <c r="F45" s="7"/>
      <c r="G45" s="7">
        <v>0</v>
      </c>
      <c r="H45" s="7">
        <v>0</v>
      </c>
      <c r="I45" s="2">
        <f>SUM(B45:H45)</f>
        <v>0</v>
      </c>
      <c r="J45" s="9"/>
      <c r="K45" s="10"/>
      <c r="L45" s="10"/>
      <c r="M45" s="10"/>
      <c r="N45" s="10"/>
    </row>
    <row r="46" spans="1:14" ht="14" thickTop="1" thickBot="1">
      <c r="A46" s="7" t="s">
        <v>12</v>
      </c>
      <c r="B46" s="2">
        <f>SUM(B42:B45)</f>
        <v>2721.6</v>
      </c>
      <c r="C46" s="2"/>
      <c r="D46" s="2">
        <f t="shared" ref="D46:I46" si="4">SUM(D42:D45)</f>
        <v>2721.6</v>
      </c>
      <c r="E46" s="2">
        <f t="shared" si="4"/>
        <v>2721.6</v>
      </c>
      <c r="F46" s="2">
        <f t="shared" si="4"/>
        <v>0</v>
      </c>
      <c r="G46" s="2">
        <f t="shared" si="4"/>
        <v>0</v>
      </c>
      <c r="H46" s="2">
        <f t="shared" si="4"/>
        <v>0</v>
      </c>
      <c r="I46" s="2">
        <f t="shared" si="4"/>
        <v>8164.8</v>
      </c>
      <c r="J46" s="9"/>
      <c r="K46" s="10"/>
      <c r="L46" s="10"/>
      <c r="M46" s="10"/>
      <c r="N46" s="10"/>
    </row>
    <row r="47" spans="1:14" ht="13.5" thickTop="1">
      <c r="A47" s="11"/>
      <c r="B47" s="12"/>
      <c r="C47" s="12"/>
      <c r="D47" s="12"/>
      <c r="L47" s="10"/>
      <c r="M47" s="10"/>
      <c r="N47" s="10"/>
    </row>
    <row r="48" spans="1:14" ht="13.5" thickBot="1">
      <c r="A48" s="3"/>
      <c r="J48" s="9"/>
      <c r="K48" s="10"/>
      <c r="L48" s="10"/>
      <c r="M48" s="10"/>
      <c r="N48" s="10"/>
    </row>
    <row r="49" spans="1:14" ht="29" customHeight="1" thickTop="1" thickBot="1">
      <c r="A49" s="15" t="s">
        <v>28</v>
      </c>
      <c r="B49" s="16"/>
      <c r="C49" s="16"/>
      <c r="D49" s="16"/>
      <c r="E49" s="16"/>
      <c r="F49" s="16"/>
      <c r="G49" s="17"/>
      <c r="J49" s="9"/>
      <c r="K49" s="10"/>
      <c r="L49" s="10"/>
      <c r="M49" s="10"/>
      <c r="N49" s="10"/>
    </row>
    <row r="50" spans="1:14" ht="14" thickTop="1" thickBot="1">
      <c r="E50" s="4">
        <v>2</v>
      </c>
      <c r="J50" s="9"/>
      <c r="K50" s="10"/>
      <c r="L50" s="10"/>
      <c r="M50" s="10"/>
      <c r="N50" s="10"/>
    </row>
    <row r="51" spans="1:14" ht="27" thickTop="1" thickBot="1">
      <c r="A51" s="1"/>
      <c r="B51" s="1" t="s">
        <v>0</v>
      </c>
      <c r="C51" s="1" t="s">
        <v>1</v>
      </c>
      <c r="D51" s="1" t="s">
        <v>2</v>
      </c>
      <c r="E51" s="1" t="s">
        <v>21</v>
      </c>
      <c r="F51" s="1" t="s">
        <v>4</v>
      </c>
      <c r="G51" s="1" t="s">
        <v>30</v>
      </c>
      <c r="J51" s="9"/>
      <c r="K51" s="10"/>
      <c r="L51" s="10"/>
      <c r="M51" s="10"/>
      <c r="N51" s="10"/>
    </row>
    <row r="52" spans="1:14" ht="14" thickTop="1" thickBot="1">
      <c r="A52" s="1" t="s">
        <v>5</v>
      </c>
      <c r="B52" s="1">
        <v>17690.400000000001</v>
      </c>
      <c r="C52" s="1" t="s">
        <v>6</v>
      </c>
      <c r="D52" s="1">
        <v>9</v>
      </c>
      <c r="E52" s="1">
        <v>1995</v>
      </c>
      <c r="F52" s="5">
        <v>11</v>
      </c>
      <c r="G52" s="5">
        <v>16</v>
      </c>
      <c r="J52" s="9"/>
      <c r="K52" s="10"/>
      <c r="L52" s="10"/>
      <c r="M52" s="10"/>
      <c r="N52" s="10"/>
    </row>
    <row r="53" spans="1:14" ht="14" thickTop="1" thickBot="1">
      <c r="J53" s="9"/>
      <c r="K53" s="10"/>
      <c r="L53" s="10"/>
      <c r="M53" s="10"/>
      <c r="N53" s="10"/>
    </row>
    <row r="54" spans="1:14" ht="14" thickTop="1" thickBot="1">
      <c r="A54" s="7"/>
      <c r="B54" s="7">
        <v>1990</v>
      </c>
      <c r="C54" s="7"/>
      <c r="D54" s="7">
        <f>B54+1</f>
        <v>1991</v>
      </c>
      <c r="E54" s="7">
        <v>1992</v>
      </c>
      <c r="F54" s="7">
        <v>1993</v>
      </c>
      <c r="G54" s="7">
        <v>1994</v>
      </c>
      <c r="H54" s="7">
        <v>1995</v>
      </c>
      <c r="I54" s="2" t="s">
        <v>10</v>
      </c>
      <c r="J54" s="9"/>
      <c r="K54" s="10"/>
      <c r="L54" s="10"/>
      <c r="M54" s="10"/>
      <c r="N54" s="10"/>
    </row>
    <row r="55" spans="1:14" ht="14" thickTop="1" thickBot="1">
      <c r="A55" s="7" t="s">
        <v>22</v>
      </c>
      <c r="B55" s="7"/>
      <c r="C55" s="7"/>
      <c r="D55" s="7"/>
      <c r="E55" s="7"/>
      <c r="F55" s="14"/>
      <c r="G55" s="7"/>
      <c r="H55" s="7">
        <f>B52</f>
        <v>17690.400000000001</v>
      </c>
      <c r="I55" s="2">
        <f>H55</f>
        <v>17690.400000000001</v>
      </c>
      <c r="J55" s="9"/>
      <c r="K55" s="10"/>
      <c r="L55" s="10"/>
      <c r="M55" s="10"/>
      <c r="N55" s="10"/>
    </row>
    <row r="56" spans="1:14" ht="14" thickTop="1" thickBot="1">
      <c r="A56" s="7" t="s">
        <v>12</v>
      </c>
      <c r="B56" s="2"/>
      <c r="C56" s="2"/>
      <c r="D56" s="2"/>
      <c r="E56" s="2"/>
      <c r="F56" s="2"/>
      <c r="G56" s="2"/>
      <c r="H56" s="2">
        <f>H55</f>
        <v>17690.400000000001</v>
      </c>
      <c r="I56" s="2">
        <f>I55</f>
        <v>17690.400000000001</v>
      </c>
      <c r="J56" s="9"/>
      <c r="K56" s="10"/>
      <c r="L56" s="10"/>
      <c r="M56" s="10"/>
      <c r="N56" s="10"/>
    </row>
    <row r="57" spans="1:14" ht="13.5" thickTop="1">
      <c r="A57" s="3"/>
      <c r="J57" s="9"/>
      <c r="K57" s="10"/>
      <c r="L57" s="10"/>
      <c r="M57" s="10"/>
      <c r="N57" s="10"/>
    </row>
    <row r="58" spans="1:14">
      <c r="A58" s="3"/>
      <c r="J58" s="9"/>
      <c r="K58" s="10"/>
      <c r="L58" s="10"/>
      <c r="M58" s="10"/>
      <c r="N58" s="10"/>
    </row>
    <row r="59" spans="1:14">
      <c r="A59" s="3"/>
      <c r="J59" s="9"/>
      <c r="K59" s="10"/>
      <c r="L59" s="10"/>
      <c r="M59" s="10"/>
      <c r="N59" s="10"/>
    </row>
    <row r="60" spans="1:14" ht="13.5" thickBot="1">
      <c r="A60" s="3"/>
      <c r="J60" s="9"/>
      <c r="K60" s="10"/>
      <c r="L60" s="10"/>
      <c r="M60" s="10"/>
      <c r="N60" s="10"/>
    </row>
    <row r="61" spans="1:14" ht="27.5" customHeight="1" thickTop="1" thickBot="1">
      <c r="A61" s="15" t="s">
        <v>29</v>
      </c>
      <c r="B61" s="16"/>
      <c r="C61" s="16"/>
      <c r="D61" s="16"/>
      <c r="E61" s="16"/>
      <c r="F61" s="16"/>
      <c r="G61" s="17"/>
      <c r="J61" s="9"/>
      <c r="K61" s="10"/>
      <c r="L61" s="10"/>
      <c r="M61" s="10"/>
      <c r="N61" s="10"/>
    </row>
    <row r="62" spans="1:14" ht="13.5" thickTop="1">
      <c r="A62" s="3"/>
      <c r="J62" s="9"/>
      <c r="K62" s="10"/>
      <c r="L62" s="10"/>
      <c r="M62" s="10"/>
      <c r="N62" s="10"/>
    </row>
    <row r="63" spans="1:14">
      <c r="J63" s="9"/>
      <c r="K63" s="10"/>
      <c r="L63" s="10"/>
      <c r="M63" s="10"/>
      <c r="N63" s="10"/>
    </row>
    <row r="64" spans="1:14" ht="13.5" thickBot="1">
      <c r="J64" s="9"/>
      <c r="K64" s="10"/>
      <c r="L64" s="10"/>
      <c r="M64" s="10"/>
      <c r="N64" s="10"/>
    </row>
    <row r="65" spans="1:14" ht="27" thickTop="1" thickBot="1">
      <c r="A65" s="1"/>
      <c r="B65" s="1" t="s">
        <v>0</v>
      </c>
      <c r="C65" s="1" t="s">
        <v>1</v>
      </c>
      <c r="D65" s="1" t="s">
        <v>2</v>
      </c>
      <c r="E65" s="1" t="s">
        <v>21</v>
      </c>
      <c r="F65" s="1" t="s">
        <v>4</v>
      </c>
      <c r="G65" s="1" t="s">
        <v>30</v>
      </c>
      <c r="J65" s="9"/>
      <c r="K65" s="10"/>
      <c r="L65" s="10"/>
      <c r="M65" s="10"/>
      <c r="N65" s="10"/>
    </row>
    <row r="66" spans="1:14" ht="14" thickTop="1" thickBot="1">
      <c r="A66" s="1" t="s">
        <v>5</v>
      </c>
      <c r="B66" s="1">
        <v>58352.92</v>
      </c>
      <c r="C66" s="1" t="s">
        <v>6</v>
      </c>
      <c r="D66" s="1">
        <v>9</v>
      </c>
      <c r="E66" s="1">
        <v>1995</v>
      </c>
      <c r="F66" s="5">
        <v>12</v>
      </c>
      <c r="G66" s="5">
        <v>17</v>
      </c>
      <c r="J66" s="9"/>
      <c r="K66" s="10"/>
      <c r="L66" s="10"/>
      <c r="M66" s="10"/>
      <c r="N66" s="10"/>
    </row>
    <row r="67" spans="1:14" ht="13.5" thickTop="1">
      <c r="J67" s="9"/>
      <c r="K67" s="10"/>
      <c r="L67" s="10"/>
      <c r="M67" s="10"/>
      <c r="N67" s="10"/>
    </row>
    <row r="68" spans="1:14" ht="13.5" thickBot="1">
      <c r="J68" s="9"/>
      <c r="K68" s="10"/>
      <c r="L68" s="10"/>
      <c r="M68" s="10"/>
      <c r="N68" s="10"/>
    </row>
    <row r="69" spans="1:14" ht="14" thickTop="1" thickBot="1">
      <c r="A69" s="7"/>
      <c r="B69" s="7">
        <v>1990</v>
      </c>
      <c r="C69" s="7"/>
      <c r="D69" s="7">
        <f>B69+1</f>
        <v>1991</v>
      </c>
      <c r="E69" s="7">
        <v>1992</v>
      </c>
      <c r="F69" s="7">
        <v>1993</v>
      </c>
      <c r="G69" s="7">
        <v>1994</v>
      </c>
      <c r="H69" s="7">
        <v>1995</v>
      </c>
      <c r="I69" s="2" t="s">
        <v>10</v>
      </c>
      <c r="J69" s="9"/>
      <c r="K69" s="9"/>
      <c r="L69" s="9"/>
      <c r="M69" s="9"/>
      <c r="N69" s="9"/>
    </row>
    <row r="70" spans="1:14" ht="14" thickTop="1" thickBot="1">
      <c r="A70" s="7" t="s">
        <v>22</v>
      </c>
      <c r="B70" s="7"/>
      <c r="C70" s="7"/>
      <c r="D70" s="7"/>
      <c r="E70" s="7"/>
      <c r="F70" s="14"/>
      <c r="G70" s="7"/>
      <c r="H70" s="7">
        <f>B66</f>
        <v>58352.92</v>
      </c>
      <c r="I70" s="2">
        <f>H70</f>
        <v>58352.92</v>
      </c>
      <c r="J70" s="9"/>
    </row>
    <row r="71" spans="1:14" ht="14" thickTop="1" thickBot="1">
      <c r="A71" s="7" t="s">
        <v>12</v>
      </c>
      <c r="B71" s="2"/>
      <c r="C71" s="2"/>
      <c r="D71" s="2"/>
      <c r="E71" s="2"/>
      <c r="F71" s="2"/>
      <c r="G71" s="2"/>
      <c r="H71" s="2">
        <f>H70</f>
        <v>58352.92</v>
      </c>
      <c r="I71" s="2">
        <f>H71</f>
        <v>58352.92</v>
      </c>
      <c r="J71" s="9"/>
      <c r="K71" s="10"/>
      <c r="L71" s="10"/>
      <c r="M71" s="10"/>
      <c r="N71" s="10"/>
    </row>
    <row r="72" spans="1:14" ht="13.5" thickTop="1">
      <c r="A72" s="11"/>
      <c r="B72" s="12"/>
      <c r="C72" s="12"/>
      <c r="D72" s="12"/>
      <c r="E72" s="12"/>
      <c r="F72" s="12"/>
      <c r="G72" s="12"/>
      <c r="H72" s="12"/>
      <c r="I72" s="11"/>
      <c r="J72" s="9"/>
      <c r="K72" s="10"/>
      <c r="L72" s="10"/>
      <c r="M72" s="10"/>
      <c r="N72" s="10"/>
    </row>
    <row r="73" spans="1:14">
      <c r="A73" s="11"/>
      <c r="B73" s="12"/>
      <c r="C73" s="12"/>
      <c r="D73" s="12"/>
      <c r="E73" s="12"/>
      <c r="F73" s="12"/>
      <c r="G73" s="12"/>
      <c r="H73" s="12"/>
      <c r="I73" s="11"/>
      <c r="J73" s="9"/>
      <c r="K73" s="10"/>
      <c r="L73" s="10"/>
      <c r="M73" s="10"/>
      <c r="N73" s="10"/>
    </row>
    <row r="74" spans="1:14" ht="13.5" thickBot="1">
      <c r="A74" s="3"/>
      <c r="J74" s="9"/>
      <c r="K74" s="10"/>
      <c r="L74" s="10"/>
      <c r="M74" s="10"/>
      <c r="N74" s="10"/>
    </row>
    <row r="75" spans="1:14" ht="34" customHeight="1" thickTop="1" thickBot="1">
      <c r="A75" s="18" t="s">
        <v>32</v>
      </c>
      <c r="B75" s="19"/>
      <c r="C75" s="19"/>
      <c r="D75" s="19"/>
      <c r="E75" s="19"/>
      <c r="F75" s="19"/>
      <c r="G75" s="19"/>
      <c r="H75" s="19"/>
      <c r="I75" s="20"/>
      <c r="J75" s="9"/>
      <c r="K75" s="10"/>
      <c r="L75" s="10"/>
      <c r="M75" s="10"/>
      <c r="N75" s="10"/>
    </row>
    <row r="76" spans="1:14" ht="14" thickTop="1" thickBot="1">
      <c r="J76" s="9"/>
      <c r="K76" s="10"/>
      <c r="L76" s="10"/>
      <c r="M76" s="10"/>
      <c r="N76" s="10"/>
    </row>
    <row r="77" spans="1:14" ht="27" thickTop="1" thickBot="1">
      <c r="A77" s="1"/>
      <c r="B77" s="1" t="s">
        <v>0</v>
      </c>
      <c r="C77" s="1" t="s">
        <v>1</v>
      </c>
      <c r="D77" s="1" t="s">
        <v>2</v>
      </c>
      <c r="E77" s="1" t="s">
        <v>21</v>
      </c>
      <c r="F77" s="1" t="s">
        <v>4</v>
      </c>
      <c r="G77" s="1" t="s">
        <v>30</v>
      </c>
      <c r="J77" s="9"/>
      <c r="K77" s="10"/>
      <c r="L77" s="10"/>
      <c r="M77" s="10"/>
      <c r="N77" s="10"/>
    </row>
    <row r="78" spans="1:14" ht="14" thickTop="1" thickBot="1">
      <c r="A78" s="1" t="s">
        <v>5</v>
      </c>
      <c r="B78" s="1">
        <v>29484</v>
      </c>
      <c r="C78" s="1" t="s">
        <v>6</v>
      </c>
      <c r="D78" s="1">
        <v>12</v>
      </c>
      <c r="E78" s="1">
        <v>1995</v>
      </c>
      <c r="F78" s="5">
        <v>15</v>
      </c>
      <c r="G78" s="5">
        <v>17</v>
      </c>
      <c r="J78" s="9"/>
      <c r="K78" s="10"/>
      <c r="L78" s="10"/>
      <c r="M78" s="10"/>
      <c r="N78" s="10"/>
    </row>
    <row r="79" spans="1:14" ht="13.5" thickTop="1">
      <c r="J79" s="9"/>
      <c r="K79" s="10"/>
      <c r="L79" s="10"/>
      <c r="M79" s="10"/>
      <c r="N79" s="10"/>
    </row>
    <row r="80" spans="1:14" ht="13.5" thickBot="1">
      <c r="J80" s="9"/>
      <c r="K80" s="10"/>
      <c r="L80" s="10"/>
      <c r="M80" s="10"/>
      <c r="N80" s="10"/>
    </row>
    <row r="81" spans="1:14" ht="14" thickTop="1" thickBot="1">
      <c r="A81" s="7"/>
      <c r="B81" s="7">
        <v>1990</v>
      </c>
      <c r="C81" s="7"/>
      <c r="D81" s="7">
        <f>B81+1</f>
        <v>1991</v>
      </c>
      <c r="E81" s="7">
        <v>1992</v>
      </c>
      <c r="F81" s="7">
        <v>1993</v>
      </c>
      <c r="G81" s="7">
        <v>1994</v>
      </c>
      <c r="H81" s="7">
        <v>1995</v>
      </c>
      <c r="I81" s="2"/>
      <c r="J81" s="9"/>
      <c r="K81" s="10"/>
      <c r="L81" s="10"/>
      <c r="M81" s="10"/>
      <c r="N81" s="10"/>
    </row>
    <row r="82" spans="1:14" ht="14" thickTop="1" thickBot="1">
      <c r="A82" s="7" t="s">
        <v>22</v>
      </c>
      <c r="B82" s="7"/>
      <c r="C82" s="7"/>
      <c r="D82" s="7"/>
      <c r="E82" s="7"/>
      <c r="F82" s="14"/>
      <c r="G82" s="7"/>
      <c r="H82" s="7">
        <f>B78</f>
        <v>29484</v>
      </c>
      <c r="I82" s="2"/>
      <c r="J82" s="9"/>
      <c r="K82" s="10"/>
      <c r="L82" s="10"/>
      <c r="M82" s="10"/>
      <c r="N82" s="10"/>
    </row>
    <row r="83" spans="1:14" ht="14" thickTop="1" thickBot="1">
      <c r="A83" s="7" t="s">
        <v>12</v>
      </c>
      <c r="B83" s="2"/>
      <c r="C83" s="2"/>
      <c r="D83" s="2"/>
      <c r="E83" s="2"/>
      <c r="F83" s="2"/>
      <c r="G83" s="2"/>
      <c r="H83" s="2">
        <f>H82</f>
        <v>29484</v>
      </c>
      <c r="I83" s="7"/>
      <c r="J83" s="9"/>
      <c r="K83" s="9"/>
      <c r="L83" s="9"/>
      <c r="M83" s="9"/>
      <c r="N83" s="9"/>
    </row>
    <row r="84" spans="1:14" ht="13.5" thickTop="1">
      <c r="A84" s="11"/>
      <c r="B84" s="12"/>
      <c r="C84" s="12"/>
      <c r="D84" s="12"/>
      <c r="E84" s="12"/>
      <c r="F84" s="12"/>
      <c r="G84" s="12"/>
      <c r="H84" s="12"/>
      <c r="I84" s="11"/>
      <c r="J84" s="9"/>
      <c r="K84" s="9"/>
      <c r="L84" s="9"/>
      <c r="M84" s="9"/>
      <c r="N84" s="9"/>
    </row>
    <row r="85" spans="1:14">
      <c r="J85" s="9"/>
      <c r="K85" s="10"/>
      <c r="L85" s="10"/>
      <c r="M85" s="10"/>
      <c r="N85" s="10"/>
    </row>
    <row r="86" spans="1:14">
      <c r="J86" s="9"/>
      <c r="K86" s="10"/>
      <c r="L86" s="10"/>
      <c r="M86" s="10"/>
      <c r="N86" s="10"/>
    </row>
    <row r="87" spans="1:14">
      <c r="J87" s="9"/>
      <c r="K87" s="10"/>
      <c r="L87" s="10"/>
      <c r="M87" s="10"/>
      <c r="N87" s="10"/>
    </row>
    <row r="88" spans="1:14">
      <c r="J88" s="9"/>
      <c r="K88" s="10"/>
      <c r="L88" s="10"/>
      <c r="M88" s="10"/>
      <c r="N88" s="10"/>
    </row>
    <row r="89" spans="1:14">
      <c r="J89" s="9"/>
      <c r="K89" s="10"/>
      <c r="L89" s="10"/>
      <c r="M89" s="10"/>
      <c r="N89" s="10"/>
    </row>
    <row r="90" spans="1:14">
      <c r="J90" s="9"/>
      <c r="K90" s="10"/>
      <c r="L90" s="10"/>
      <c r="M90" s="10"/>
      <c r="N90" s="10"/>
    </row>
    <row r="91" spans="1:14">
      <c r="J91" s="9"/>
      <c r="K91" s="10"/>
      <c r="L91" s="10"/>
      <c r="M91" s="10"/>
      <c r="N91" s="10"/>
    </row>
    <row r="92" spans="1:14">
      <c r="J92" s="9"/>
    </row>
    <row r="93" spans="1:14">
      <c r="J93" s="9"/>
    </row>
    <row r="94" spans="1:14">
      <c r="J94" s="9"/>
    </row>
    <row r="95" spans="1:14">
      <c r="J95" s="9"/>
      <c r="K95" s="10"/>
      <c r="L95" s="10"/>
      <c r="M95" s="10"/>
      <c r="N95" s="10"/>
    </row>
    <row r="96" spans="1:14">
      <c r="J96" s="9"/>
      <c r="K96" s="10"/>
      <c r="L96" s="10"/>
      <c r="M96" s="10"/>
      <c r="N96" s="10"/>
    </row>
    <row r="97" spans="10:16">
      <c r="J97" s="9"/>
      <c r="K97" s="10"/>
      <c r="L97" s="10"/>
      <c r="M97" s="10"/>
      <c r="N97" s="10"/>
    </row>
    <row r="98" spans="10:16">
      <c r="J98" s="9"/>
      <c r="K98" s="10"/>
      <c r="L98" s="10"/>
      <c r="M98" s="10"/>
      <c r="N98" s="10"/>
    </row>
    <row r="99" spans="10:16">
      <c r="J99" s="9"/>
      <c r="K99" s="10"/>
      <c r="L99" s="10"/>
      <c r="M99" s="10"/>
      <c r="N99" s="10"/>
    </row>
    <row r="100" spans="10:16">
      <c r="J100" s="9"/>
      <c r="K100" s="9"/>
      <c r="L100" s="9"/>
      <c r="M100" s="9"/>
      <c r="N100" s="9"/>
      <c r="P100" s="13"/>
    </row>
    <row r="101" spans="10:16">
      <c r="J101" s="9"/>
      <c r="K101" s="10"/>
      <c r="L101" s="10"/>
      <c r="M101" s="10"/>
      <c r="N101" s="10"/>
    </row>
    <row r="102" spans="10:16">
      <c r="J102" s="9"/>
      <c r="K102" s="10"/>
      <c r="L102" s="10"/>
      <c r="M102" s="10"/>
      <c r="N102" s="10"/>
      <c r="O102" s="13"/>
    </row>
    <row r="103" spans="10:16">
      <c r="J103" s="9"/>
      <c r="K103" s="9"/>
      <c r="L103" s="9"/>
      <c r="M103" s="9"/>
      <c r="N103" s="9"/>
    </row>
    <row r="104" spans="10:16">
      <c r="J104" s="9"/>
      <c r="K104" s="9"/>
      <c r="L104" s="9"/>
      <c r="M104" s="9"/>
      <c r="N104" s="9"/>
      <c r="P104" s="13"/>
    </row>
    <row r="108" spans="10:16">
      <c r="O108" s="13"/>
    </row>
    <row r="109" spans="10:16">
      <c r="P109" s="13"/>
    </row>
    <row r="114" spans="10:15">
      <c r="J114" s="13"/>
      <c r="K114" s="13"/>
      <c r="L114" s="13"/>
      <c r="M114" s="13"/>
      <c r="N114" s="13"/>
    </row>
    <row r="115" spans="10:15">
      <c r="J115" s="13"/>
      <c r="K115" s="13"/>
      <c r="L115" s="13"/>
      <c r="M115" s="13"/>
      <c r="N115" s="13"/>
    </row>
    <row r="116" spans="10:15">
      <c r="J116" s="13"/>
      <c r="O116" s="13"/>
    </row>
    <row r="119" spans="10:15">
      <c r="O119" s="13"/>
    </row>
  </sheetData>
  <mergeCells count="6">
    <mergeCell ref="A2:G2"/>
    <mergeCell ref="A61:G61"/>
    <mergeCell ref="A15:G15"/>
    <mergeCell ref="A33:G33"/>
    <mergeCell ref="A49:G49"/>
    <mergeCell ref="A75:I75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2024-11-13T17:09:31Z</cp:lastPrinted>
  <dcterms:created xsi:type="dcterms:W3CDTF">2024-11-13T14:18:13Z</dcterms:created>
  <dcterms:modified xsi:type="dcterms:W3CDTF">2024-11-13T17:10:01Z</dcterms:modified>
</cp:coreProperties>
</file>