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690" windowWidth="19200" windowHeight="692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C17" i="1"/>
  <c r="B15"/>
  <c r="H13"/>
  <c r="H14" s="1"/>
  <c r="E13"/>
  <c r="F13"/>
  <c r="F15" s="1"/>
  <c r="G13"/>
  <c r="G14" s="1"/>
  <c r="D13"/>
  <c r="D14" s="1"/>
  <c r="B13"/>
  <c r="I13" s="1"/>
  <c r="E14" l="1"/>
  <c r="F14"/>
  <c r="D15"/>
  <c r="D17" s="1"/>
  <c r="E15"/>
  <c r="E17" s="1"/>
  <c r="B14"/>
  <c r="G15"/>
  <c r="G17" s="1"/>
  <c r="H15"/>
  <c r="H17" s="1"/>
  <c r="F17"/>
  <c r="I11"/>
  <c r="B8"/>
  <c r="I14" l="1"/>
  <c r="B17"/>
  <c r="I15"/>
  <c r="I17" l="1"/>
</calcChain>
</file>

<file path=xl/sharedStrings.xml><?xml version="1.0" encoding="utf-8"?>
<sst xmlns="http://schemas.openxmlformats.org/spreadsheetml/2006/main" count="29" uniqueCount="23">
  <si>
    <t xml:space="preserve">Montant </t>
  </si>
  <si>
    <t>Années concernés</t>
  </si>
  <si>
    <t>ligne du bulletin</t>
  </si>
  <si>
    <t>Totaux</t>
  </si>
  <si>
    <t>Monnaie</t>
  </si>
  <si>
    <t>franc</t>
  </si>
  <si>
    <t>pages de l'arrêt</t>
  </si>
  <si>
    <t>1990 1991 1992 1993 1994 et 1995</t>
  </si>
  <si>
    <t>3 et 7</t>
  </si>
  <si>
    <t>5,6 et 7</t>
  </si>
  <si>
    <t>Total</t>
  </si>
  <si>
    <t>Proportion</t>
  </si>
  <si>
    <t>3/58</t>
  </si>
  <si>
    <t>12/58</t>
  </si>
  <si>
    <t>58/58</t>
  </si>
  <si>
    <t>Répartition brut</t>
  </si>
  <si>
    <t>7/58</t>
  </si>
  <si>
    <t>Répartition congés payés</t>
  </si>
  <si>
    <t>Répartition jours mobiles</t>
  </si>
  <si>
    <t>Nombre de mois concernés</t>
  </si>
  <si>
    <t>TOTAL PAR ANNEE</t>
  </si>
  <si>
    <t>VENTILATIONS PAR ANNEE DE "rappel mensusalisation" DES LIGNES 5, 6 ET 7 DU BULLETIN DE SALAIRE MATERIALISANT L'ARRET DU 26 JUIN 1997</t>
  </si>
  <si>
    <t>PAGE DES CONCLUSIONS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</si>
</sst>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wrapText="1"/>
    </xf>
    <xf numFmtId="2" fontId="0" fillId="0" borderId="0" xfId="0" applyNumberFormat="1" applyBorder="1" applyAlignment="1">
      <alignment wrapText="1"/>
    </xf>
    <xf numFmtId="2" fontId="0" fillId="0" borderId="0" xfId="0" applyNumberFormat="1"/>
    <xf numFmtId="0" fontId="0" fillId="0" borderId="2" xfId="0" applyBorder="1"/>
    <xf numFmtId="2" fontId="0" fillId="0" borderId="2" xfId="0" applyNumberFormat="1" applyBorder="1"/>
    <xf numFmtId="0" fontId="1" fillId="0" borderId="0" xfId="0" applyFont="1"/>
    <xf numFmtId="2" fontId="1" fillId="0" borderId="0" xfId="0" applyNumberFormat="1" applyFont="1"/>
    <xf numFmtId="0" fontId="1" fillId="0" borderId="0" xfId="0" applyFont="1" applyBorder="1" applyAlignment="1">
      <alignment horizontal="center" wrapText="1"/>
    </xf>
    <xf numFmtId="1" fontId="0" fillId="0" borderId="2" xfId="0" applyNumberFormat="1" applyBorder="1"/>
    <xf numFmtId="49" fontId="0" fillId="0" borderId="2" xfId="0" applyNumberFormat="1" applyBorder="1"/>
    <xf numFmtId="0" fontId="1" fillId="0" borderId="1" xfId="0" applyFont="1" applyBorder="1" applyAlignment="1">
      <alignment horizontal="center" wrapText="1"/>
    </xf>
    <xf numFmtId="0" fontId="1" fillId="0" borderId="1" xfId="0" applyNumberFormat="1" applyFont="1" applyBorder="1" applyAlignment="1">
      <alignment horizontal="center" wrapText="1"/>
    </xf>
    <xf numFmtId="2" fontId="1" fillId="0" borderId="2" xfId="0" applyNumberFormat="1" applyFont="1" applyBorder="1"/>
    <xf numFmtId="0" fontId="0" fillId="0" borderId="2" xfId="0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view="pageLayout" topLeftCell="A6" workbookViewId="0">
      <selection activeCell="G21" sqref="G21"/>
    </sheetView>
  </sheetViews>
  <sheetFormatPr baseColWidth="10" defaultRowHeight="14.5"/>
  <cols>
    <col min="1" max="1" width="12.7265625" customWidth="1"/>
    <col min="2" max="2" width="12" bestFit="1" customWidth="1"/>
    <col min="3" max="3" width="10.54296875" customWidth="1"/>
    <col min="5" max="5" width="17.81640625" bestFit="1" customWidth="1"/>
    <col min="6" max="6" width="14.453125" bestFit="1" customWidth="1"/>
    <col min="7" max="7" width="12.54296875" customWidth="1"/>
    <col min="8" max="8" width="18.7265625" bestFit="1" customWidth="1"/>
    <col min="9" max="9" width="12" customWidth="1"/>
    <col min="17" max="17" width="17.1796875" bestFit="1" customWidth="1"/>
    <col min="18" max="19" width="14.81640625" bestFit="1" customWidth="1"/>
  </cols>
  <sheetData>
    <row r="1" spans="1:14" ht="38" customHeight="1" thickTop="1" thickBot="1">
      <c r="A1" s="15" t="s">
        <v>21</v>
      </c>
      <c r="B1" s="16"/>
      <c r="C1" s="16"/>
      <c r="D1" s="16"/>
      <c r="E1" s="16"/>
      <c r="F1" s="16"/>
      <c r="G1" s="16"/>
      <c r="H1" s="17"/>
      <c r="I1" s="8"/>
      <c r="J1" s="2"/>
      <c r="K1" s="1"/>
      <c r="L1" s="1"/>
      <c r="M1" s="1"/>
      <c r="N1" s="1"/>
    </row>
    <row r="2" spans="1:14" ht="15" thickTop="1">
      <c r="A2" s="8"/>
      <c r="B2" s="8"/>
      <c r="C2" s="8"/>
      <c r="D2" s="8"/>
      <c r="E2" s="8"/>
      <c r="F2" s="8"/>
      <c r="G2" s="8"/>
      <c r="H2" s="8"/>
      <c r="I2" s="8"/>
      <c r="J2" s="2"/>
      <c r="K2" s="1"/>
      <c r="L2" s="1"/>
      <c r="M2" s="1"/>
      <c r="N2" s="1"/>
    </row>
    <row r="3" spans="1:14" ht="15" thickBot="1">
      <c r="A3" s="8"/>
      <c r="B3" s="8"/>
      <c r="C3" s="8"/>
      <c r="D3" s="8"/>
      <c r="E3" s="8"/>
      <c r="F3" s="8"/>
      <c r="G3" s="8"/>
      <c r="H3" s="8"/>
      <c r="I3" s="8"/>
      <c r="J3" s="2"/>
      <c r="K3" s="1"/>
      <c r="L3" s="1"/>
      <c r="M3" s="1"/>
      <c r="N3" s="1"/>
    </row>
    <row r="4" spans="1:14" ht="44" thickBot="1">
      <c r="A4" s="11"/>
      <c r="B4" s="11" t="s">
        <v>0</v>
      </c>
      <c r="C4" s="11" t="s">
        <v>4</v>
      </c>
      <c r="D4" s="11" t="s">
        <v>6</v>
      </c>
      <c r="E4" s="11" t="s">
        <v>1</v>
      </c>
      <c r="F4" s="11" t="s">
        <v>2</v>
      </c>
      <c r="G4" s="11" t="s">
        <v>22</v>
      </c>
      <c r="H4" s="8"/>
      <c r="I4" s="2"/>
      <c r="J4" s="1"/>
      <c r="K4" s="1"/>
      <c r="L4" s="1"/>
      <c r="M4" s="1"/>
    </row>
    <row r="5" spans="1:14" ht="29.5" thickBot="1">
      <c r="A5" s="11"/>
      <c r="B5" s="11">
        <v>66820</v>
      </c>
      <c r="C5" s="11" t="s">
        <v>5</v>
      </c>
      <c r="D5" s="11" t="s">
        <v>8</v>
      </c>
      <c r="E5" s="11" t="s">
        <v>7</v>
      </c>
      <c r="F5" s="12" t="s">
        <v>9</v>
      </c>
      <c r="G5" s="12">
        <v>16</v>
      </c>
      <c r="H5" s="8"/>
      <c r="I5" s="2"/>
      <c r="J5" s="1"/>
      <c r="K5" s="1"/>
      <c r="L5" s="1"/>
      <c r="M5" s="1"/>
    </row>
    <row r="6" spans="1:14" ht="15" thickBot="1">
      <c r="A6" s="11"/>
      <c r="B6" s="11">
        <v>6682</v>
      </c>
      <c r="C6" s="11" t="s">
        <v>5</v>
      </c>
      <c r="D6" s="11"/>
      <c r="E6" s="11"/>
      <c r="F6" s="11"/>
      <c r="G6" s="8"/>
      <c r="H6" s="8"/>
      <c r="I6" s="2"/>
      <c r="J6" s="1"/>
      <c r="K6" s="1"/>
      <c r="L6" s="1"/>
      <c r="M6" s="1"/>
    </row>
    <row r="7" spans="1:14" ht="15" thickBot="1">
      <c r="A7" s="11"/>
      <c r="B7" s="11">
        <v>1336.4</v>
      </c>
      <c r="C7" s="11" t="s">
        <v>5</v>
      </c>
      <c r="D7" s="11"/>
      <c r="E7" s="11"/>
      <c r="F7" s="11"/>
      <c r="G7" s="8"/>
      <c r="H7" s="8"/>
      <c r="I7" s="2"/>
      <c r="J7" s="1"/>
      <c r="K7" s="1"/>
      <c r="L7" s="1"/>
      <c r="M7" s="1"/>
    </row>
    <row r="8" spans="1:14" ht="15" thickBot="1">
      <c r="A8" s="11" t="s">
        <v>3</v>
      </c>
      <c r="B8" s="11">
        <f>SUM(B5:B7)</f>
        <v>74838.399999999994</v>
      </c>
      <c r="C8" s="11" t="s">
        <v>5</v>
      </c>
      <c r="D8" s="11"/>
      <c r="E8" s="11"/>
      <c r="F8" s="11"/>
      <c r="G8" s="8"/>
      <c r="H8" s="8"/>
      <c r="I8" s="8"/>
      <c r="J8" s="2"/>
      <c r="K8" s="1"/>
      <c r="L8" s="1"/>
      <c r="M8" s="1"/>
      <c r="N8" s="1"/>
    </row>
    <row r="9" spans="1:14" ht="15" thickBot="1">
      <c r="J9" s="2"/>
      <c r="K9" s="1"/>
      <c r="L9" s="1"/>
      <c r="M9" s="1"/>
      <c r="N9" s="1"/>
    </row>
    <row r="10" spans="1:14" ht="15.5" thickTop="1" thickBot="1">
      <c r="A10" s="4"/>
      <c r="B10" s="4">
        <v>1990</v>
      </c>
      <c r="C10" s="4"/>
      <c r="D10" s="4">
        <v>1991</v>
      </c>
      <c r="E10" s="4">
        <v>1992</v>
      </c>
      <c r="F10" s="4">
        <v>1993</v>
      </c>
      <c r="G10" s="4">
        <v>1994</v>
      </c>
      <c r="H10" s="4">
        <v>1995</v>
      </c>
      <c r="I10" s="5" t="s">
        <v>10</v>
      </c>
      <c r="J10" s="2"/>
      <c r="K10" s="1"/>
      <c r="L10" s="1"/>
      <c r="M10" s="1"/>
      <c r="N10" s="1"/>
    </row>
    <row r="11" spans="1:14" ht="44.5" thickTop="1" thickBot="1">
      <c r="A11" s="14" t="s">
        <v>19</v>
      </c>
      <c r="B11" s="9">
        <v>3</v>
      </c>
      <c r="C11" s="9"/>
      <c r="D11" s="9">
        <v>12</v>
      </c>
      <c r="E11" s="9">
        <v>12</v>
      </c>
      <c r="F11" s="9">
        <v>12</v>
      </c>
      <c r="G11" s="9">
        <v>12</v>
      </c>
      <c r="H11" s="9">
        <v>7</v>
      </c>
      <c r="I11" s="9">
        <f>SUM(B11:H11)</f>
        <v>58</v>
      </c>
      <c r="J11" s="2"/>
      <c r="K11" s="2"/>
      <c r="L11" s="2"/>
      <c r="M11" s="2"/>
      <c r="N11" s="2"/>
    </row>
    <row r="12" spans="1:14" ht="15.5" thickTop="1" thickBot="1">
      <c r="A12" s="14" t="s">
        <v>11</v>
      </c>
      <c r="B12" s="10" t="s">
        <v>12</v>
      </c>
      <c r="C12" s="10"/>
      <c r="D12" s="10" t="s">
        <v>13</v>
      </c>
      <c r="E12" s="10" t="s">
        <v>13</v>
      </c>
      <c r="F12" s="10" t="s">
        <v>13</v>
      </c>
      <c r="G12" s="10" t="s">
        <v>13</v>
      </c>
      <c r="H12" s="10" t="s">
        <v>16</v>
      </c>
      <c r="I12" s="10" t="s">
        <v>14</v>
      </c>
      <c r="J12" s="2"/>
      <c r="K12" s="2"/>
      <c r="L12" s="2"/>
      <c r="M12" s="2"/>
      <c r="N12" s="2"/>
    </row>
    <row r="13" spans="1:14" ht="30" thickTop="1" thickBot="1">
      <c r="A13" s="14" t="s">
        <v>15</v>
      </c>
      <c r="B13" s="5">
        <f>66820*3/58</f>
        <v>3456.2068965517242</v>
      </c>
      <c r="C13" s="5"/>
      <c r="D13" s="5">
        <f>66820*12/58</f>
        <v>13824.827586206897</v>
      </c>
      <c r="E13" s="5">
        <f t="shared" ref="E13:G13" si="0">66820*12/58</f>
        <v>13824.827586206897</v>
      </c>
      <c r="F13" s="5">
        <f t="shared" si="0"/>
        <v>13824.827586206897</v>
      </c>
      <c r="G13" s="5">
        <f t="shared" si="0"/>
        <v>13824.827586206897</v>
      </c>
      <c r="H13" s="5">
        <f>66820*7/58</f>
        <v>8064.4827586206893</v>
      </c>
      <c r="I13" s="13">
        <f>SUM(B13:H13)</f>
        <v>66820</v>
      </c>
      <c r="J13" s="2"/>
      <c r="K13" s="2"/>
      <c r="L13" s="2"/>
      <c r="M13" s="2"/>
      <c r="N13" s="2"/>
    </row>
    <row r="14" spans="1:14" ht="30" thickTop="1" thickBot="1">
      <c r="A14" s="14" t="s">
        <v>17</v>
      </c>
      <c r="B14" s="5">
        <f>B13*10%</f>
        <v>345.62068965517244</v>
      </c>
      <c r="C14" s="5"/>
      <c r="D14" s="5">
        <f t="shared" ref="D14:G14" si="1">D13*10%</f>
        <v>1382.4827586206898</v>
      </c>
      <c r="E14" s="5">
        <f t="shared" si="1"/>
        <v>1382.4827586206898</v>
      </c>
      <c r="F14" s="5">
        <f t="shared" si="1"/>
        <v>1382.4827586206898</v>
      </c>
      <c r="G14" s="5">
        <f t="shared" si="1"/>
        <v>1382.4827586206898</v>
      </c>
      <c r="H14" s="5">
        <f>H13*10%</f>
        <v>806.44827586206895</v>
      </c>
      <c r="I14" s="13">
        <f>SUM(B14:H14)</f>
        <v>6682</v>
      </c>
      <c r="J14" s="2"/>
      <c r="K14" s="2"/>
      <c r="L14" s="2"/>
      <c r="M14" s="2"/>
      <c r="N14" s="2"/>
    </row>
    <row r="15" spans="1:14" ht="30" thickTop="1" thickBot="1">
      <c r="A15" s="14" t="s">
        <v>18</v>
      </c>
      <c r="B15" s="5">
        <f>B13*2%</f>
        <v>69.124137931034483</v>
      </c>
      <c r="C15" s="5"/>
      <c r="D15" s="5">
        <f t="shared" ref="D15:G15" si="2">D13*2%</f>
        <v>276.49655172413793</v>
      </c>
      <c r="E15" s="5">
        <f t="shared" si="2"/>
        <v>276.49655172413793</v>
      </c>
      <c r="F15" s="5">
        <f t="shared" si="2"/>
        <v>276.49655172413793</v>
      </c>
      <c r="G15" s="5">
        <f t="shared" si="2"/>
        <v>276.49655172413793</v>
      </c>
      <c r="H15" s="5">
        <f>H13*2%</f>
        <v>161.2896551724138</v>
      </c>
      <c r="I15" s="13">
        <f>SUM(B15:H15)</f>
        <v>1336.4</v>
      </c>
      <c r="J15" s="2"/>
    </row>
    <row r="16" spans="1:14" ht="15.5" thickTop="1" thickBot="1">
      <c r="A16" s="4"/>
      <c r="B16" s="5"/>
      <c r="C16" s="5"/>
      <c r="D16" s="5"/>
      <c r="E16" s="5"/>
      <c r="F16" s="5"/>
      <c r="G16" s="5"/>
      <c r="H16" s="5"/>
      <c r="I16" s="5"/>
      <c r="J16" s="2"/>
      <c r="K16" s="1"/>
      <c r="L16" s="1"/>
      <c r="M16" s="1"/>
      <c r="N16" s="1"/>
    </row>
    <row r="17" spans="1:14" ht="30" thickTop="1" thickBot="1">
      <c r="A17" s="14" t="s">
        <v>20</v>
      </c>
      <c r="B17" s="5">
        <f>SUM(B13:B16)</f>
        <v>3870.9517241379313</v>
      </c>
      <c r="C17" s="5">
        <f t="shared" ref="C17:H17" si="3">SUM(C13:C16)</f>
        <v>0</v>
      </c>
      <c r="D17" s="5">
        <f t="shared" si="3"/>
        <v>15483.806896551725</v>
      </c>
      <c r="E17" s="5">
        <f t="shared" si="3"/>
        <v>15483.806896551725</v>
      </c>
      <c r="F17" s="5">
        <f t="shared" si="3"/>
        <v>15483.806896551725</v>
      </c>
      <c r="G17" s="5">
        <f t="shared" si="3"/>
        <v>15483.806896551725</v>
      </c>
      <c r="H17" s="5">
        <f t="shared" si="3"/>
        <v>9032.2206896551725</v>
      </c>
      <c r="I17" s="5">
        <f>SUM(I13:I16)</f>
        <v>74838.399999999994</v>
      </c>
      <c r="J17" s="2"/>
      <c r="K17" s="1"/>
      <c r="L17" s="1"/>
      <c r="M17" s="1"/>
      <c r="N17" s="1"/>
    </row>
    <row r="18" spans="1:14" ht="15" thickTop="1">
      <c r="F18" s="3"/>
      <c r="I18" s="3"/>
      <c r="J18" s="2"/>
      <c r="K18" s="1"/>
      <c r="L18" s="1"/>
      <c r="M18" s="1"/>
      <c r="N18" s="1"/>
    </row>
    <row r="19" spans="1:14">
      <c r="E19" s="6"/>
      <c r="F19" s="7"/>
      <c r="G19" s="3"/>
      <c r="J19" s="2"/>
      <c r="K19" s="1"/>
      <c r="L19" s="1"/>
      <c r="M19" s="1"/>
      <c r="N19" s="1"/>
    </row>
    <row r="20" spans="1:14">
      <c r="F20" s="3"/>
      <c r="J20" s="2"/>
      <c r="K20" s="1"/>
      <c r="L20" s="1"/>
      <c r="M20" s="1"/>
      <c r="N20" s="1"/>
    </row>
    <row r="21" spans="1:14">
      <c r="J21" s="2"/>
      <c r="K21" s="1"/>
      <c r="L21" s="1"/>
      <c r="M21" s="1"/>
      <c r="N21" s="1"/>
    </row>
    <row r="22" spans="1:14">
      <c r="D22" s="6"/>
      <c r="E22" s="6"/>
      <c r="F22" s="7"/>
      <c r="J22" s="2"/>
      <c r="K22" s="1"/>
      <c r="L22" s="1"/>
      <c r="M22" s="1"/>
      <c r="N22" s="1"/>
    </row>
    <row r="23" spans="1:14">
      <c r="H23" s="3"/>
      <c r="J23" s="2"/>
      <c r="K23" s="1"/>
      <c r="L23" s="1"/>
      <c r="M23" s="1"/>
      <c r="N23" s="1"/>
    </row>
    <row r="24" spans="1:14">
      <c r="J24" s="2"/>
      <c r="K24" s="1"/>
      <c r="L24" s="1"/>
      <c r="M24" s="1"/>
      <c r="N24" s="1"/>
    </row>
    <row r="25" spans="1:14">
      <c r="H25" s="3"/>
      <c r="J25" s="2"/>
      <c r="K25" s="1"/>
      <c r="L25" s="1"/>
      <c r="M25" s="1"/>
      <c r="N25" s="1"/>
    </row>
    <row r="26" spans="1:14">
      <c r="J26" s="2"/>
      <c r="K26" s="1"/>
      <c r="L26" s="1"/>
      <c r="M26" s="1"/>
      <c r="N26" s="1"/>
    </row>
    <row r="27" spans="1:14">
      <c r="J27" s="2"/>
      <c r="K27" s="1"/>
      <c r="L27" s="1"/>
      <c r="M27" s="1"/>
      <c r="N27" s="1"/>
    </row>
    <row r="28" spans="1:14">
      <c r="J28" s="2"/>
      <c r="K28" s="1"/>
      <c r="L28" s="1"/>
      <c r="M28" s="1"/>
      <c r="N28" s="1"/>
    </row>
    <row r="29" spans="1:14">
      <c r="J29" s="2"/>
    </row>
    <row r="30" spans="1:14">
      <c r="J30" s="2"/>
      <c r="K30" s="1"/>
      <c r="L30" s="1"/>
      <c r="M30" s="1"/>
      <c r="N30" s="1"/>
    </row>
    <row r="31" spans="1:14">
      <c r="J31" s="2"/>
      <c r="K31" s="1"/>
      <c r="L31" s="1"/>
      <c r="M31" s="1"/>
      <c r="N31" s="1"/>
    </row>
    <row r="32" spans="1:14">
      <c r="J32" s="2"/>
      <c r="K32" s="1"/>
      <c r="L32" s="1"/>
      <c r="M32" s="1"/>
      <c r="N32" s="1"/>
    </row>
    <row r="33" spans="10:14">
      <c r="J33" s="2"/>
      <c r="K33" s="1"/>
      <c r="L33" s="1"/>
      <c r="M33" s="1"/>
      <c r="N33" s="1"/>
    </row>
    <row r="34" spans="10:14">
      <c r="J34" s="2"/>
      <c r="K34" s="1"/>
      <c r="L34" s="1"/>
      <c r="M34" s="1"/>
      <c r="N34" s="1"/>
    </row>
    <row r="35" spans="10:14">
      <c r="J35" s="2"/>
      <c r="K35" s="1"/>
      <c r="L35" s="1"/>
      <c r="M35" s="1"/>
      <c r="N35" s="1"/>
    </row>
    <row r="36" spans="10:14">
      <c r="J36" s="2"/>
      <c r="K36" s="1"/>
      <c r="L36" s="1"/>
      <c r="M36" s="1"/>
      <c r="N36" s="1"/>
    </row>
    <row r="37" spans="10:14">
      <c r="J37" s="2"/>
      <c r="K37" s="1"/>
      <c r="L37" s="1"/>
      <c r="M37" s="1"/>
      <c r="N37" s="1"/>
    </row>
    <row r="38" spans="10:14">
      <c r="J38" s="2"/>
      <c r="K38" s="1"/>
      <c r="L38" s="1"/>
      <c r="M38" s="1"/>
      <c r="N38" s="1"/>
    </row>
    <row r="39" spans="10:14">
      <c r="J39" s="2"/>
      <c r="K39" s="1"/>
      <c r="L39" s="1"/>
      <c r="M39" s="1"/>
      <c r="N39" s="1"/>
    </row>
    <row r="40" spans="10:14">
      <c r="J40" s="2"/>
      <c r="K40" s="1"/>
      <c r="L40" s="1"/>
      <c r="M40" s="1"/>
      <c r="N40" s="1"/>
    </row>
    <row r="41" spans="10:14">
      <c r="J41" s="2"/>
      <c r="K41" s="1"/>
      <c r="L41" s="1"/>
      <c r="M41" s="1"/>
      <c r="N41" s="1"/>
    </row>
    <row r="42" spans="10:14">
      <c r="J42" s="2"/>
      <c r="K42" s="2"/>
      <c r="L42" s="2"/>
      <c r="M42" s="2"/>
      <c r="N42" s="2"/>
    </row>
    <row r="43" spans="10:14">
      <c r="J43" s="2"/>
      <c r="K43" s="2"/>
      <c r="L43" s="2"/>
      <c r="M43" s="2"/>
      <c r="N43" s="2"/>
    </row>
    <row r="44" spans="10:14">
      <c r="J44" s="2"/>
    </row>
    <row r="45" spans="10:14">
      <c r="J45" s="2"/>
      <c r="K45" s="1"/>
      <c r="L45" s="1"/>
      <c r="M45" s="1"/>
      <c r="N45" s="1"/>
    </row>
    <row r="46" spans="10:14">
      <c r="J46" s="2"/>
      <c r="K46" s="1"/>
      <c r="L46" s="1"/>
      <c r="M46" s="1"/>
      <c r="N46" s="1"/>
    </row>
    <row r="47" spans="10:14">
      <c r="J47" s="2"/>
      <c r="K47" s="1"/>
      <c r="L47" s="1"/>
      <c r="M47" s="1"/>
      <c r="N47" s="1"/>
    </row>
    <row r="48" spans="10:14">
      <c r="J48" s="2"/>
      <c r="K48" s="1"/>
      <c r="L48" s="1"/>
      <c r="M48" s="1"/>
      <c r="N48" s="1"/>
    </row>
    <row r="49" spans="10:14">
      <c r="J49" s="2"/>
      <c r="K49" s="1"/>
      <c r="L49" s="1"/>
      <c r="M49" s="1"/>
      <c r="N49" s="1"/>
    </row>
    <row r="50" spans="10:14">
      <c r="J50" s="2"/>
      <c r="K50" s="1"/>
      <c r="L50" s="1"/>
      <c r="M50" s="1"/>
      <c r="N50" s="1"/>
    </row>
    <row r="51" spans="10:14">
      <c r="J51" s="2"/>
      <c r="K51" s="1"/>
      <c r="L51" s="1"/>
      <c r="M51" s="1"/>
      <c r="N51" s="1"/>
    </row>
    <row r="52" spans="10:14">
      <c r="J52" s="2"/>
      <c r="K52" s="1"/>
      <c r="L52" s="1"/>
      <c r="M52" s="1"/>
      <c r="N52" s="1"/>
    </row>
    <row r="53" spans="10:14">
      <c r="J53" s="2"/>
      <c r="K53" s="1"/>
      <c r="L53" s="1"/>
      <c r="M53" s="1"/>
      <c r="N53" s="1"/>
    </row>
    <row r="54" spans="10:14">
      <c r="J54" s="2"/>
      <c r="K54" s="1"/>
      <c r="L54" s="1"/>
      <c r="M54" s="1"/>
      <c r="N54" s="1"/>
    </row>
    <row r="55" spans="10:14">
      <c r="J55" s="2"/>
      <c r="K55" s="1"/>
      <c r="L55" s="1"/>
      <c r="M55" s="1"/>
      <c r="N55" s="1"/>
    </row>
    <row r="56" spans="10:14">
      <c r="J56" s="2"/>
      <c r="K56" s="1"/>
      <c r="L56" s="1"/>
      <c r="M56" s="1"/>
      <c r="N56" s="1"/>
    </row>
    <row r="57" spans="10:14">
      <c r="J57" s="2"/>
      <c r="K57" s="2"/>
      <c r="L57" s="2"/>
      <c r="M57" s="2"/>
      <c r="N57" s="2"/>
    </row>
    <row r="58" spans="10:14">
      <c r="J58" s="2"/>
      <c r="K58" s="2"/>
      <c r="L58" s="2"/>
      <c r="M58" s="2"/>
      <c r="N58" s="2"/>
    </row>
    <row r="59" spans="10:14">
      <c r="J59" s="2"/>
    </row>
    <row r="60" spans="10:14">
      <c r="J60" s="2"/>
      <c r="K60" s="1"/>
      <c r="L60" s="1"/>
      <c r="M60" s="1"/>
      <c r="N60" s="1"/>
    </row>
    <row r="61" spans="10:14">
      <c r="J61" s="2"/>
      <c r="K61" s="1"/>
      <c r="L61" s="1"/>
      <c r="M61" s="1"/>
      <c r="N61" s="1"/>
    </row>
    <row r="62" spans="10:14">
      <c r="J62" s="2"/>
      <c r="K62" s="1"/>
      <c r="L62" s="1"/>
      <c r="M62" s="1"/>
      <c r="N62" s="1"/>
    </row>
    <row r="63" spans="10:14">
      <c r="J63" s="2"/>
      <c r="K63" s="1"/>
      <c r="L63" s="1"/>
      <c r="M63" s="1"/>
      <c r="N63" s="1"/>
    </row>
    <row r="64" spans="10:14">
      <c r="J64" s="2"/>
      <c r="K64" s="1"/>
      <c r="L64" s="1"/>
      <c r="M64" s="1"/>
      <c r="N64" s="1"/>
    </row>
    <row r="65" spans="10:14">
      <c r="J65" s="2"/>
      <c r="K65" s="1"/>
      <c r="L65" s="1"/>
      <c r="M65" s="1"/>
      <c r="N65" s="1"/>
    </row>
    <row r="66" spans="10:14">
      <c r="J66" s="2"/>
      <c r="K66" s="1"/>
      <c r="L66" s="1"/>
      <c r="M66" s="1"/>
      <c r="N66" s="1"/>
    </row>
    <row r="67" spans="10:14">
      <c r="J67" s="2"/>
      <c r="K67" s="1"/>
      <c r="L67" s="1"/>
      <c r="M67" s="1"/>
      <c r="N67" s="1"/>
    </row>
    <row r="68" spans="10:14">
      <c r="J68" s="2"/>
      <c r="K68" s="1"/>
      <c r="L68" s="1"/>
      <c r="M68" s="1"/>
      <c r="N68" s="1"/>
    </row>
    <row r="69" spans="10:14">
      <c r="J69" s="2"/>
      <c r="K69" s="1"/>
      <c r="L69" s="1"/>
      <c r="M69" s="1"/>
      <c r="N69" s="1"/>
    </row>
    <row r="70" spans="10:14">
      <c r="J70" s="2"/>
      <c r="K70" s="1"/>
      <c r="L70" s="1"/>
      <c r="M70" s="1"/>
      <c r="N70" s="1"/>
    </row>
    <row r="71" spans="10:14">
      <c r="J71" s="2"/>
      <c r="K71" s="1"/>
      <c r="L71" s="1"/>
      <c r="M71" s="1"/>
      <c r="N71" s="1"/>
    </row>
    <row r="72" spans="10:14">
      <c r="J72" s="2"/>
      <c r="K72" s="1"/>
      <c r="L72" s="1"/>
      <c r="M72" s="1"/>
      <c r="N72" s="1"/>
    </row>
    <row r="73" spans="10:14">
      <c r="J73" s="2"/>
      <c r="K73" s="1"/>
      <c r="L73" s="1"/>
      <c r="M73" s="1"/>
      <c r="N73" s="1"/>
    </row>
    <row r="74" spans="10:14">
      <c r="J74" s="2"/>
    </row>
    <row r="75" spans="10:14">
      <c r="J75" s="2"/>
    </row>
    <row r="76" spans="10:14">
      <c r="J76" s="2"/>
    </row>
    <row r="77" spans="10:14">
      <c r="J77" s="2"/>
      <c r="K77" s="1"/>
      <c r="L77" s="1"/>
      <c r="M77" s="1"/>
      <c r="N77" s="1"/>
    </row>
    <row r="78" spans="10:14">
      <c r="J78" s="2"/>
      <c r="K78" s="1"/>
      <c r="L78" s="1"/>
      <c r="M78" s="1"/>
      <c r="N78" s="1"/>
    </row>
    <row r="79" spans="10:14">
      <c r="J79" s="2"/>
      <c r="K79" s="1"/>
      <c r="L79" s="1"/>
      <c r="M79" s="1"/>
      <c r="N79" s="1"/>
    </row>
    <row r="80" spans="10:14">
      <c r="J80" s="2"/>
      <c r="K80" s="1"/>
      <c r="L80" s="1"/>
      <c r="M80" s="1"/>
      <c r="N80" s="1"/>
    </row>
    <row r="81" spans="10:16">
      <c r="J81" s="2"/>
      <c r="K81" s="1"/>
      <c r="L81" s="1"/>
      <c r="M81" s="1"/>
      <c r="N81" s="1"/>
    </row>
    <row r="82" spans="10:16">
      <c r="J82" s="2"/>
      <c r="K82" s="2"/>
      <c r="L82" s="2"/>
      <c r="M82" s="2"/>
      <c r="N82" s="2"/>
      <c r="P82" s="3"/>
    </row>
    <row r="83" spans="10:16">
      <c r="J83" s="2"/>
      <c r="K83" s="1"/>
      <c r="L83" s="1"/>
      <c r="M83" s="1"/>
      <c r="N83" s="1"/>
    </row>
    <row r="84" spans="10:16">
      <c r="J84" s="2"/>
      <c r="K84" s="1"/>
      <c r="L84" s="1"/>
      <c r="M84" s="1"/>
      <c r="N84" s="1"/>
      <c r="O84" s="3"/>
    </row>
    <row r="85" spans="10:16">
      <c r="J85" s="2"/>
      <c r="K85" s="2"/>
      <c r="L85" s="2"/>
      <c r="M85" s="2"/>
      <c r="N85" s="2"/>
    </row>
    <row r="86" spans="10:16">
      <c r="J86" s="2"/>
      <c r="K86" s="2"/>
      <c r="L86" s="2"/>
      <c r="M86" s="2"/>
      <c r="N86" s="2"/>
      <c r="P86" s="3"/>
    </row>
    <row r="90" spans="10:16">
      <c r="O90" s="3"/>
    </row>
    <row r="91" spans="10:16">
      <c r="P91" s="3"/>
    </row>
    <row r="96" spans="10:16">
      <c r="J96" s="3"/>
      <c r="K96" s="3"/>
      <c r="L96" s="3"/>
      <c r="M96" s="3"/>
      <c r="N96" s="3"/>
    </row>
    <row r="97" spans="10:15">
      <c r="J97" s="3"/>
      <c r="K97" s="3"/>
      <c r="L97" s="3"/>
      <c r="M97" s="3"/>
      <c r="N97" s="3"/>
    </row>
    <row r="98" spans="10:15">
      <c r="J98" s="3"/>
      <c r="O98" s="3"/>
    </row>
    <row r="101" spans="10:15">
      <c r="O101" s="3"/>
    </row>
  </sheetData>
  <mergeCells count="1">
    <mergeCell ref="A1:H1"/>
  </mergeCells>
  <pageMargins left="0.7" right="0.7" top="0.75" bottom="0.75" header="0.3" footer="0.3"/>
  <pageSetup paperSize="9" orientation="landscape" verticalDpi="300" r:id="rId1"/>
  <headerFooter>
    <oddFooter>&amp;CMounir chikhaoui 160119935159671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USER</cp:lastModifiedBy>
  <cp:lastPrinted>2024-11-13T15:15:30Z</cp:lastPrinted>
  <dcterms:created xsi:type="dcterms:W3CDTF">2023-06-15T15:21:00Z</dcterms:created>
  <dcterms:modified xsi:type="dcterms:W3CDTF">2024-11-13T15:16:53Z</dcterms:modified>
</cp:coreProperties>
</file>